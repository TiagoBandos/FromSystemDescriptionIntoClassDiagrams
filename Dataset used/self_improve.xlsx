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35196\Desktop\Papers\Dataset\source datasets\Evaluating Large Language Models in\"/>
    </mc:Choice>
  </mc:AlternateContent>
  <xr:revisionPtr revIDLastSave="0" documentId="13_ncr:1_{E5235B99-391D-457E-A5E2-3AAD058C4A70}" xr6:coauthVersionLast="47" xr6:coauthVersionMax="47" xr10:uidLastSave="{00000000-0000-0000-0000-000000000000}"/>
  <bookViews>
    <workbookView xWindow="-60" yWindow="-60" windowWidth="21720" windowHeight="12900" xr2:uid="{7CFD83FA-7641-4F56-9A9C-A2D0607DA6B4}"/>
  </bookViews>
  <sheets>
    <sheet name="GEval" sheetId="1" r:id="rId1"/>
    <sheet name="Folh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2" l="1"/>
  <c r="H15" i="2"/>
  <c r="H16" i="2"/>
  <c r="H17" i="2"/>
  <c r="H18" i="2"/>
  <c r="H19" i="2"/>
  <c r="H20" i="2"/>
  <c r="H21" i="2"/>
  <c r="G14" i="2"/>
  <c r="I14" i="2" s="1"/>
  <c r="G15" i="2"/>
  <c r="I15" i="2" s="1"/>
  <c r="G16" i="2"/>
  <c r="I16" i="2" s="1"/>
  <c r="G17" i="2"/>
  <c r="I17" i="2" s="1"/>
  <c r="G18" i="2"/>
  <c r="I18" i="2" s="1"/>
  <c r="G19" i="2"/>
  <c r="I19" i="2" s="1"/>
  <c r="G20" i="2"/>
  <c r="I20" i="2" s="1"/>
  <c r="G21" i="2"/>
  <c r="I21" i="2" s="1"/>
  <c r="H13" i="2"/>
  <c r="G13" i="2"/>
  <c r="I13" i="2" s="1"/>
  <c r="H12" i="2"/>
  <c r="G12" i="2"/>
  <c r="H10" i="2"/>
  <c r="G10" i="2"/>
  <c r="H9" i="2"/>
  <c r="G9" i="2"/>
  <c r="H8" i="2"/>
  <c r="G8" i="2"/>
  <c r="H7" i="2"/>
  <c r="G7" i="2"/>
  <c r="I7" i="2" s="1"/>
  <c r="H4" i="2"/>
  <c r="G4" i="2"/>
  <c r="H3" i="2"/>
  <c r="G3" i="2"/>
  <c r="G5" i="2"/>
  <c r="H5" i="2"/>
  <c r="G6" i="2"/>
  <c r="H6" i="2"/>
  <c r="H11" i="2"/>
  <c r="G11" i="2"/>
  <c r="H2" i="2"/>
  <c r="G2" i="2"/>
  <c r="I2" i="2" s="1"/>
  <c r="E6" i="1"/>
  <c r="E4" i="1"/>
  <c r="E5" i="1"/>
  <c r="Q4" i="1"/>
  <c r="Q5" i="1"/>
  <c r="Q6" i="1"/>
  <c r="Q7" i="1"/>
  <c r="Q8" i="1"/>
  <c r="Q9" i="1"/>
  <c r="Q10" i="1"/>
  <c r="Q11" i="1"/>
  <c r="Q12" i="1"/>
  <c r="Q3" i="1"/>
  <c r="E3" i="1"/>
  <c r="Q2" i="1"/>
  <c r="E2" i="1"/>
  <c r="I12" i="2" l="1"/>
  <c r="I9" i="2"/>
  <c r="I8" i="2"/>
  <c r="I11" i="2"/>
  <c r="I10" i="2"/>
  <c r="I3" i="2"/>
  <c r="I4" i="2"/>
  <c r="I5" i="2"/>
  <c r="I6" i="2"/>
</calcChain>
</file>

<file path=xl/sharedStrings.xml><?xml version="1.0" encoding="utf-8"?>
<sst xmlns="http://schemas.openxmlformats.org/spreadsheetml/2006/main" count="138" uniqueCount="50">
  <si>
    <t>Number of iteration</t>
  </si>
  <si>
    <t xml:space="preserve">Use case </t>
  </si>
  <si>
    <t>Validity Score</t>
  </si>
  <si>
    <t>Completeness score</t>
  </si>
  <si>
    <t>Semantic score</t>
  </si>
  <si>
    <t>Errors Semantic</t>
  </si>
  <si>
    <t>Pragmatic score</t>
  </si>
  <si>
    <t>Errors Pragmatic</t>
  </si>
  <si>
    <t>Syntactic score</t>
  </si>
  <si>
    <t>UML_completeness_score</t>
  </si>
  <si>
    <t>Uml quality score</t>
  </si>
  <si>
    <t>Requirement_coverage_score</t>
  </si>
  <si>
    <t>Pragmatic_clarity_score</t>
  </si>
  <si>
    <t>LLM score</t>
  </si>
  <si>
    <t>Errors llm as judge</t>
  </si>
  <si>
    <t>Rouge</t>
  </si>
  <si>
    <t>Overall score</t>
  </si>
  <si>
    <t>Conversation history</t>
  </si>
  <si>
    <t>Generation</t>
  </si>
  <si>
    <t xml:space="preserve">Project Management System </t>
  </si>
  <si>
    <t>"The 'validate()' method in the WorkProduct class is marked as abstract but has a concrete implementation.",
    "The cardinality of the relationship between ProjectManager and Team should be '1' on both ends, not '1' on one end and '1..*' on the other."</t>
  </si>
  <si>
    <t>"The class diagram is too complex and contains many unnecessary details, making it difficult to understand.",
    "Some classes (e.g., WorkProduct) have multiple inheritance relationships which can be confusing and indicate a design flaw.",
    "Not all methods are consistently labeled as abstract or concrete, which can lead to confusion about their implementation.",
    "The class diagram does not clearly show the relationships between classes, making it hard to understand the system's structure."</t>
  </si>
  <si>
    <t xml:space="preserve"> "Missing association between Project and SystemProduct for validation",
    "Naming inconsistency: 'systemId' vs 'SystemID'",
    "Weak abstraction: 'percentComplete' attribute in WorkProduct",
    "Missing association between Requirement and Workshop for validation"</t>
  </si>
  <si>
    <t>Iteration 1</t>
  </si>
  <si>
    <t xml:space="preserve"> "The attribute 'skills' in the TeamMember class seems to be incorrectly placed, as it's more likely a part of the project team rather than an individual.",
    "The operation 'assignToProject' in the TeamMember class could potentially cause issues if not implemented correctly, considering the current attributes and relationships."</t>
  </si>
  <si>
    <t>"The class diagram has a lot of classes, making it hard to understand the relationships between them.",
    "Some attributes (e.g., name in Project) are not explicitly defined as private or protected, which might lead to confusion about their visibility.",
    "There are multiple enums (ProjectStatus, MediaType, ValidationResult), but they are not consistently named and do not follow a clear naming convention.",
    "The abstract class WorkProduct has two methods with the same name (updateDescription and updateProgress) that are implemented differently in its subclasses. This can lead to confusion about the correct behavior of these methods."</t>
  </si>
  <si>
    <t xml:space="preserve"> "The UML class diagram generated does not fully cover all system requirements.",
    "There are some naming inconsistencies between classes and relationships.",
    "Some attributes and methods could be encapsulated within their respective classes for better abstraction."</t>
  </si>
  <si>
    <t>Iteration 2</t>
  </si>
  <si>
    <t>"In the PlantUML diagram, the 'assignManager' operation in the ProjectManagementSystem class returns a boolean value indicating success or failure, but it doesn't specify how this information is used. This may lead to inconsistencies if the operation fails.",
    "The relationship between System and Platform in the PlantUML diagram specifies that a system can be deployed on multiple platforms, which seems inconsistent with the definition of deployment as a one-to-one process."</t>
  </si>
  <si>
    <t>"The class 'ProjectManagementSystem' has a broad set of responsibilities, which may lead to tight coupling and make it difficult to modify or extend.",
    "The 'WorkProduct' abstract class has multiple attributes and methods that are not essential for its abstraction. It's better to minimize the commonality among subclasses.",
    "There is no clear distinction between 'Requirement' and 'System'. They seem to share similar validation and publishing responsibilities, but with different media types.",
    "The 'ProjectManager' class has a broad set of responsibilities, including project management and system usage, which may lead to tight coupling and make it difficult to modify or extend.",
    "Some classes have redundant attributes (e.g., 'startDate' and 'endDate' in 'Project') or weakly defined relationships (e.g., the multiplicity of '1..*' for 'Team' and 'TeamMember').",
    "The UML diagram uses inconsistent styling, such as using both solid lines (--) and dotted lines (-.) to represent associations.",
    "Some classes have too many methods, making it difficult to understand their responsibilities. For example, 'ProjectManagementSystem', 'ProjectManager', and 'System' have multiple methods."</t>
  </si>
  <si>
    <t xml:space="preserve"> "Missing association between Project and Requirement",
    "Naming inconsistency: 'ProjectStatus' enum has inconsistent naming convention",
    "Weak abstraction: 'WorkProduct' class has too many concrete methods"</t>
  </si>
  <si>
    <t>"The 'ProjectManagementSystem' class has operations that cannot be implemented using the current attributes/relationships.",
    "The 'Workshop' class seems to be a part of the domain but is not correctly related to other classes."</t>
  </si>
  <si>
    <t xml:space="preserve"> "The class diagram is complex and may be difficult to understand for stakeholders without prior knowledge of the domain.",
    "The abstract class WorkProduct has several methods that are not overridden by its subclasses, which could lead to issues with code reuse and maintainability.",
    "There are some redundant attributes in classes like ProjectManager and TeamMember (e.g., name: String), which could be removed for simplicity.",
    "The relationships between classes are clear, but some of them could be expressed more concisely using PlantUML's arrow notation."
  ],</t>
  </si>
  <si>
    <t>"The class diagram seems to be overly complex, with many unnecessary attributes and methods.",
    "There are no associations between the WorkProduct class and its subclasses (Requirement and SystemProduct).",
    "The names of some classes and attributes do not follow a consistent naming convention.",
    "The validate method in the WorkProduct class is marked as abstract, but it should be implemented by all its subclasses."</t>
  </si>
  <si>
    <t>False</t>
  </si>
  <si>
    <t>True</t>
  </si>
  <si>
    <t>"The attribute 'components' in class 'System' is not defined anywhere else in the diagram, suggesting it might be a mistake.",
    "The operation 'validate()' in abstract class 'WorkProduct' is not overridden by any concrete classes.",
    "The relationship between 'ProjectManager' and 'Team' is unclear - should it be an association or aggregation?"</t>
  </si>
  <si>
    <t>"The class diagram is quite complex and may be difficult for some stakeholders to understand.",
    "Some classes (e.g., System, Requirement) have a lot of attributes and operations, which can make them hard to grasp.",
    "There are several abstract classes with no implementation, which might cause confusion.",
    "The use of UML's �interface� symbol is inconsistent: some classes implement interfaces directly, while others do not.",
    "Some class names (e.g., ProjectManagementSystem) could be more descriptive and follow a consistent naming convention."</t>
  </si>
  <si>
    <t xml:space="preserve">    "Missing association between Project and TeamMember",
    "Naming inconsistency: 'ProjectManagementSystem' vs 'WorkProduct'",
    "Weak abstraction: 'Media' class has no clear responsibility"</t>
  </si>
  <si>
    <t>Element</t>
  </si>
  <si>
    <t>TP</t>
  </si>
  <si>
    <t>FP</t>
  </si>
  <si>
    <t>FN</t>
  </si>
  <si>
    <t>Precision</t>
  </si>
  <si>
    <t>Recall</t>
  </si>
  <si>
    <t>F1-Score</t>
  </si>
  <si>
    <t>Classes</t>
  </si>
  <si>
    <t>Relationships</t>
  </si>
  <si>
    <t>Attributes</t>
  </si>
  <si>
    <t>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</si>
</sst>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horizontal="left" vertical="center" wrapText="1"/>
    </xf>
    <xf numFmtId="0" fontId="0" fillId="0" borderId="1" xfId="0" applyBorder="1" applyAlignment="1">
      <alignment vertical="center"/>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612D5-4E5D-454C-964B-E4D2ADF29E73}">
  <dimension ref="A1:R12"/>
  <sheetViews>
    <sheetView tabSelected="1" topLeftCell="D1" workbookViewId="0">
      <pane ySplit="1" topLeftCell="A3" activePane="bottomLeft" state="frozen"/>
      <selection pane="bottomLeft" activeCell="N4" sqref="N4"/>
    </sheetView>
  </sheetViews>
  <sheetFormatPr defaultRowHeight="14.25" x14ac:dyDescent="0.45"/>
  <cols>
    <col min="1" max="1" width="15.9296875" bestFit="1" customWidth="1"/>
    <col min="2" max="2" width="23.33203125" bestFit="1" customWidth="1"/>
    <col min="6" max="6" width="16.796875" customWidth="1"/>
    <col min="8" max="8" width="17.53125" bestFit="1" customWidth="1"/>
    <col min="15" max="15" width="15.33203125" bestFit="1" customWidth="1"/>
    <col min="17" max="17" width="10.86328125" bestFit="1" customWidth="1"/>
    <col min="18" max="18" width="16.73046875" customWidth="1"/>
  </cols>
  <sheetData>
    <row r="1" spans="1:18" ht="43.15" thickBot="1" x14ac:dyDescent="0.5">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2" t="s">
        <v>17</v>
      </c>
    </row>
    <row r="2" spans="1:18" s="5" customFormat="1" ht="307.89999999999998" customHeight="1" x14ac:dyDescent="0.45">
      <c r="A2" s="5" t="s">
        <v>18</v>
      </c>
      <c r="B2" s="5" t="s">
        <v>19</v>
      </c>
      <c r="C2" s="5">
        <v>0.85</v>
      </c>
      <c r="D2" s="5">
        <v>0.9</v>
      </c>
      <c r="E2" s="5">
        <f>(C2+D2)/2</f>
        <v>0.875</v>
      </c>
      <c r="F2" s="6" t="s">
        <v>20</v>
      </c>
      <c r="G2" s="5">
        <v>0.6</v>
      </c>
      <c r="H2" s="6" t="s">
        <v>21</v>
      </c>
      <c r="I2" s="5">
        <v>0.9</v>
      </c>
      <c r="J2" s="5">
        <v>0.9</v>
      </c>
      <c r="K2" s="5">
        <v>0.8</v>
      </c>
      <c r="L2" s="5">
        <v>0.7</v>
      </c>
      <c r="M2" s="5">
        <v>0.85</v>
      </c>
      <c r="N2" s="5">
        <v>0.83499999999999996</v>
      </c>
      <c r="O2" s="6" t="s">
        <v>22</v>
      </c>
      <c r="P2" s="5">
        <v>0.375</v>
      </c>
      <c r="Q2" s="5">
        <f>(E2+(G2+M2)/2+(I2+J2+K2)/3+L2)/4</f>
        <v>0.79166666666666674</v>
      </c>
      <c r="R2" s="5" t="s">
        <v>35</v>
      </c>
    </row>
    <row r="3" spans="1:18" s="5" customFormat="1" ht="303.39999999999998" customHeight="1" x14ac:dyDescent="0.45">
      <c r="A3" s="5" t="s">
        <v>23</v>
      </c>
      <c r="B3" s="5" t="s">
        <v>19</v>
      </c>
      <c r="C3" s="5">
        <v>0.8</v>
      </c>
      <c r="D3" s="5">
        <v>0.9</v>
      </c>
      <c r="E3" s="5">
        <f>(C3+D3)/2</f>
        <v>0.85000000000000009</v>
      </c>
      <c r="F3" s="6" t="s">
        <v>24</v>
      </c>
      <c r="G3" s="5">
        <v>0.8</v>
      </c>
      <c r="H3" s="6" t="s">
        <v>25</v>
      </c>
      <c r="I3" s="5">
        <v>0.9</v>
      </c>
      <c r="J3" s="5">
        <v>0.8</v>
      </c>
      <c r="K3" s="5">
        <v>0.9</v>
      </c>
      <c r="L3" s="5">
        <v>0.7</v>
      </c>
      <c r="M3" s="5">
        <v>0.85</v>
      </c>
      <c r="N3" s="5">
        <v>0.83</v>
      </c>
      <c r="O3" s="6" t="s">
        <v>26</v>
      </c>
      <c r="P3" s="5">
        <v>0.26800000000000002</v>
      </c>
      <c r="Q3" s="5">
        <f>(E3+(G3+M3)/2+(I3+J3+K3)/3+L3)/4</f>
        <v>0.81041666666666679</v>
      </c>
      <c r="R3" s="5" t="s">
        <v>35</v>
      </c>
    </row>
    <row r="4" spans="1:18" s="5" customFormat="1" ht="409.5" x14ac:dyDescent="0.45">
      <c r="A4" s="5" t="s">
        <v>27</v>
      </c>
      <c r="B4" s="5" t="s">
        <v>19</v>
      </c>
      <c r="C4" s="5">
        <v>0.8</v>
      </c>
      <c r="D4" s="5">
        <v>0.9</v>
      </c>
      <c r="E4" s="5">
        <f t="shared" ref="E4:E6" si="0">(C4+D4)/2</f>
        <v>0.85000000000000009</v>
      </c>
      <c r="F4" s="6" t="s">
        <v>28</v>
      </c>
      <c r="G4" s="5">
        <v>0.7</v>
      </c>
      <c r="H4" s="6" t="s">
        <v>29</v>
      </c>
      <c r="I4" s="5">
        <v>0.9</v>
      </c>
      <c r="J4" s="5">
        <v>0.9</v>
      </c>
      <c r="K4" s="5">
        <v>0.8</v>
      </c>
      <c r="L4" s="5">
        <v>0.7</v>
      </c>
      <c r="M4" s="5">
        <v>0.8</v>
      </c>
      <c r="N4" s="5">
        <v>0.75</v>
      </c>
      <c r="O4" s="6" t="s">
        <v>30</v>
      </c>
      <c r="P4" s="5">
        <v>0.24099999999999999</v>
      </c>
      <c r="Q4" s="5">
        <f t="shared" ref="Q4:Q12" si="1">(E4+(G4+M4)/2+(I4+J4+K4)/3+L4)/4</f>
        <v>0.79166666666666674</v>
      </c>
      <c r="R4" s="5" t="s">
        <v>35</v>
      </c>
    </row>
    <row r="5" spans="1:18" ht="409.5" x14ac:dyDescent="0.45">
      <c r="A5" s="5" t="s">
        <v>18</v>
      </c>
      <c r="B5" s="5" t="s">
        <v>19</v>
      </c>
      <c r="C5" s="5">
        <v>0.8</v>
      </c>
      <c r="D5" s="5">
        <v>0.9</v>
      </c>
      <c r="E5" s="5">
        <f t="shared" si="0"/>
        <v>0.85000000000000009</v>
      </c>
      <c r="F5" s="6" t="s">
        <v>31</v>
      </c>
      <c r="G5" s="5">
        <v>0.8</v>
      </c>
      <c r="H5" s="4" t="s">
        <v>32</v>
      </c>
      <c r="I5" s="5">
        <v>0.9</v>
      </c>
      <c r="J5" s="5">
        <v>0.85</v>
      </c>
      <c r="K5" s="5">
        <v>0.8</v>
      </c>
      <c r="L5" s="5">
        <v>0.65</v>
      </c>
      <c r="M5" s="5">
        <v>0.75</v>
      </c>
      <c r="N5" s="5">
        <v>0.76</v>
      </c>
      <c r="O5" s="4" t="s">
        <v>33</v>
      </c>
      <c r="P5" s="5">
        <v>0.27200000000000002</v>
      </c>
      <c r="Q5" s="5">
        <f t="shared" si="1"/>
        <v>0.78125</v>
      </c>
      <c r="R5" s="5" t="s">
        <v>34</v>
      </c>
    </row>
    <row r="6" spans="1:18" ht="409.5" x14ac:dyDescent="0.45">
      <c r="A6" s="5" t="s">
        <v>23</v>
      </c>
      <c r="B6" s="5" t="s">
        <v>19</v>
      </c>
      <c r="C6" s="5">
        <v>0.8</v>
      </c>
      <c r="D6" s="5">
        <v>0.9</v>
      </c>
      <c r="E6" s="5">
        <f t="shared" si="0"/>
        <v>0.85000000000000009</v>
      </c>
      <c r="F6" s="6" t="s">
        <v>36</v>
      </c>
      <c r="G6" s="5">
        <v>0.7</v>
      </c>
      <c r="H6" s="4" t="s">
        <v>37</v>
      </c>
      <c r="I6" s="5">
        <v>0.9</v>
      </c>
      <c r="J6" s="5">
        <v>0.8</v>
      </c>
      <c r="K6" s="5">
        <v>0.7</v>
      </c>
      <c r="L6" s="5">
        <v>0.9</v>
      </c>
      <c r="M6" s="5">
        <v>0.6</v>
      </c>
      <c r="N6" s="5">
        <v>0.79</v>
      </c>
      <c r="O6" s="6" t="s">
        <v>38</v>
      </c>
      <c r="P6" s="5">
        <v>0.26800000000000002</v>
      </c>
      <c r="Q6" s="5">
        <f t="shared" si="1"/>
        <v>0.8</v>
      </c>
      <c r="R6" s="5" t="s">
        <v>34</v>
      </c>
    </row>
    <row r="7" spans="1:18" x14ac:dyDescent="0.45">
      <c r="Q7">
        <f t="shared" si="1"/>
        <v>0</v>
      </c>
    </row>
    <row r="8" spans="1:18" x14ac:dyDescent="0.45">
      <c r="Q8">
        <f t="shared" si="1"/>
        <v>0</v>
      </c>
    </row>
    <row r="9" spans="1:18" x14ac:dyDescent="0.45">
      <c r="Q9">
        <f t="shared" si="1"/>
        <v>0</v>
      </c>
    </row>
    <row r="10" spans="1:18" x14ac:dyDescent="0.45">
      <c r="Q10">
        <f t="shared" si="1"/>
        <v>0</v>
      </c>
    </row>
    <row r="11" spans="1:18" x14ac:dyDescent="0.45">
      <c r="Q11">
        <f t="shared" si="1"/>
        <v>0</v>
      </c>
    </row>
    <row r="12" spans="1:18" x14ac:dyDescent="0.45">
      <c r="Q12">
        <f t="shared" si="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6543-6DD7-436E-8BBC-528A32D01629}">
  <dimension ref="A1:J21"/>
  <sheetViews>
    <sheetView workbookViewId="0">
      <selection activeCell="G21" sqref="G21"/>
    </sheetView>
  </sheetViews>
  <sheetFormatPr defaultRowHeight="14.25" x14ac:dyDescent="0.45"/>
  <cols>
    <col min="1" max="1" width="15.9296875" bestFit="1" customWidth="1"/>
    <col min="2" max="2" width="23.33203125" bestFit="1" customWidth="1"/>
    <col min="3" max="3" width="11.3984375" bestFit="1" customWidth="1"/>
    <col min="10" max="10" width="16.73046875" customWidth="1"/>
  </cols>
  <sheetData>
    <row r="1" spans="1:10" ht="28.9" thickBot="1" x14ac:dyDescent="0.5">
      <c r="A1" s="1" t="s">
        <v>0</v>
      </c>
      <c r="B1" s="1" t="s">
        <v>1</v>
      </c>
      <c r="C1" s="1" t="s">
        <v>39</v>
      </c>
      <c r="D1" s="1" t="s">
        <v>40</v>
      </c>
      <c r="E1" s="1" t="s">
        <v>41</v>
      </c>
      <c r="F1" s="1" t="s">
        <v>42</v>
      </c>
      <c r="G1" s="1" t="s">
        <v>43</v>
      </c>
      <c r="H1" s="1" t="s">
        <v>44</v>
      </c>
      <c r="I1" s="1" t="s">
        <v>45</v>
      </c>
      <c r="J1" s="2" t="s">
        <v>17</v>
      </c>
    </row>
    <row r="2" spans="1:10" ht="21.75" customHeight="1" x14ac:dyDescent="0.45">
      <c r="A2" t="s">
        <v>18</v>
      </c>
      <c r="B2" s="5" t="s">
        <v>19</v>
      </c>
      <c r="C2" t="s">
        <v>46</v>
      </c>
      <c r="D2">
        <v>6</v>
      </c>
      <c r="E2">
        <v>3</v>
      </c>
      <c r="F2">
        <v>0</v>
      </c>
      <c r="G2">
        <f>D2/(D2+E2)</f>
        <v>0.66666666666666663</v>
      </c>
      <c r="H2">
        <f>D2/(D2+F2)</f>
        <v>1</v>
      </c>
      <c r="I2">
        <f>2*G2*H2/(G2+H2)</f>
        <v>0.8</v>
      </c>
      <c r="J2" s="5" t="s">
        <v>35</v>
      </c>
    </row>
    <row r="3" spans="1:10" ht="21.75" customHeight="1" x14ac:dyDescent="0.45">
      <c r="A3" t="s">
        <v>18</v>
      </c>
      <c r="B3" s="5" t="s">
        <v>19</v>
      </c>
      <c r="C3" t="s">
        <v>47</v>
      </c>
      <c r="D3">
        <v>7</v>
      </c>
      <c r="E3">
        <v>3</v>
      </c>
      <c r="F3">
        <v>0</v>
      </c>
      <c r="G3">
        <f>D3/(D3+E3)</f>
        <v>0.7</v>
      </c>
      <c r="H3">
        <f>D3/(D3+F3)</f>
        <v>1</v>
      </c>
      <c r="I3">
        <f>2*G3*H3/(G3+H3)</f>
        <v>0.82352941176470584</v>
      </c>
      <c r="J3" s="5" t="s">
        <v>35</v>
      </c>
    </row>
    <row r="4" spans="1:10" ht="21.75" customHeight="1" x14ac:dyDescent="0.45">
      <c r="A4" t="s">
        <v>18</v>
      </c>
      <c r="B4" s="5" t="s">
        <v>19</v>
      </c>
      <c r="C4" t="s">
        <v>48</v>
      </c>
      <c r="D4">
        <v>5</v>
      </c>
      <c r="E4">
        <v>5</v>
      </c>
      <c r="F4">
        <v>5</v>
      </c>
      <c r="G4">
        <f>D4/(D4+E4)</f>
        <v>0.5</v>
      </c>
      <c r="H4">
        <f>D4/(D4+F4)</f>
        <v>0.5</v>
      </c>
      <c r="I4">
        <f>2*G4*H4/(G4+H4)</f>
        <v>0.5</v>
      </c>
      <c r="J4" s="5" t="s">
        <v>35</v>
      </c>
    </row>
    <row r="5" spans="1:10" ht="21.75" customHeight="1" thickBot="1" x14ac:dyDescent="0.5">
      <c r="A5" s="1" t="s">
        <v>18</v>
      </c>
      <c r="B5" s="7" t="s">
        <v>19</v>
      </c>
      <c r="C5" s="1" t="s">
        <v>49</v>
      </c>
      <c r="D5" s="1">
        <v>6</v>
      </c>
      <c r="E5" s="1">
        <v>16</v>
      </c>
      <c r="F5" s="1">
        <v>1</v>
      </c>
      <c r="G5" s="1">
        <f>D5/(D5+E5)</f>
        <v>0.27272727272727271</v>
      </c>
      <c r="H5" s="1">
        <f>D5/(D5+F5)</f>
        <v>0.8571428571428571</v>
      </c>
      <c r="I5" s="1">
        <f>2*G5*H5/(G5+H5)</f>
        <v>0.41379310344827586</v>
      </c>
      <c r="J5" s="7" t="s">
        <v>35</v>
      </c>
    </row>
    <row r="6" spans="1:10" x14ac:dyDescent="0.45">
      <c r="A6" t="s">
        <v>23</v>
      </c>
      <c r="B6" s="5" t="s">
        <v>19</v>
      </c>
      <c r="C6" t="s">
        <v>46</v>
      </c>
      <c r="D6">
        <v>6</v>
      </c>
      <c r="E6">
        <v>7</v>
      </c>
      <c r="F6">
        <v>0</v>
      </c>
      <c r="G6">
        <f t="shared" ref="G6:G11" si="0">D6/(D6+E6)</f>
        <v>0.46153846153846156</v>
      </c>
      <c r="H6">
        <f t="shared" ref="H6:H11" si="1">D6/(D6+F6)</f>
        <v>1</v>
      </c>
      <c r="I6">
        <f t="shared" ref="I6:I11" si="2">2*G6*H6/(G6+H6)</f>
        <v>0.63157894736842102</v>
      </c>
      <c r="J6" s="5" t="s">
        <v>35</v>
      </c>
    </row>
    <row r="7" spans="1:10" x14ac:dyDescent="0.45">
      <c r="A7" t="s">
        <v>23</v>
      </c>
      <c r="B7" s="5" t="s">
        <v>19</v>
      </c>
      <c r="C7" t="s">
        <v>47</v>
      </c>
      <c r="D7">
        <v>7</v>
      </c>
      <c r="E7">
        <v>9</v>
      </c>
      <c r="F7">
        <v>0</v>
      </c>
      <c r="G7">
        <f t="shared" ref="G7:G10" si="3">D7/(D7+E7)</f>
        <v>0.4375</v>
      </c>
      <c r="H7">
        <f t="shared" ref="H7:H10" si="4">D7/(D7+F7)</f>
        <v>1</v>
      </c>
      <c r="I7">
        <f t="shared" ref="I7:I10" si="5">2*G7*H7/(G7+H7)</f>
        <v>0.60869565217391308</v>
      </c>
      <c r="J7" s="5" t="s">
        <v>35</v>
      </c>
    </row>
    <row r="8" spans="1:10" x14ac:dyDescent="0.45">
      <c r="A8" t="s">
        <v>23</v>
      </c>
      <c r="B8" s="5" t="s">
        <v>19</v>
      </c>
      <c r="C8" t="s">
        <v>48</v>
      </c>
      <c r="D8">
        <v>5</v>
      </c>
      <c r="E8">
        <v>7</v>
      </c>
      <c r="F8">
        <v>5</v>
      </c>
      <c r="G8">
        <f t="shared" si="3"/>
        <v>0.41666666666666669</v>
      </c>
      <c r="H8">
        <f t="shared" si="4"/>
        <v>0.5</v>
      </c>
      <c r="I8">
        <f t="shared" si="5"/>
        <v>0.45454545454545453</v>
      </c>
      <c r="J8" s="5" t="s">
        <v>35</v>
      </c>
    </row>
    <row r="9" spans="1:10" ht="14.65" thickBot="1" x14ac:dyDescent="0.5">
      <c r="A9" s="1" t="s">
        <v>23</v>
      </c>
      <c r="B9" s="7" t="s">
        <v>19</v>
      </c>
      <c r="C9" s="1" t="s">
        <v>49</v>
      </c>
      <c r="D9" s="1">
        <v>6</v>
      </c>
      <c r="E9" s="1">
        <v>33</v>
      </c>
      <c r="F9" s="1">
        <v>1</v>
      </c>
      <c r="G9" s="1">
        <f t="shared" si="3"/>
        <v>0.15384615384615385</v>
      </c>
      <c r="H9" s="1">
        <f t="shared" si="4"/>
        <v>0.8571428571428571</v>
      </c>
      <c r="I9" s="1">
        <f t="shared" si="5"/>
        <v>0.2608695652173913</v>
      </c>
      <c r="J9" s="7" t="s">
        <v>35</v>
      </c>
    </row>
    <row r="10" spans="1:10" x14ac:dyDescent="0.45">
      <c r="A10" t="s">
        <v>27</v>
      </c>
      <c r="B10" s="5" t="s">
        <v>19</v>
      </c>
      <c r="C10" t="s">
        <v>46</v>
      </c>
      <c r="D10">
        <v>6</v>
      </c>
      <c r="E10">
        <v>9</v>
      </c>
      <c r="F10">
        <v>0</v>
      </c>
      <c r="G10">
        <f t="shared" si="3"/>
        <v>0.4</v>
      </c>
      <c r="H10">
        <f t="shared" si="4"/>
        <v>1</v>
      </c>
      <c r="I10">
        <f t="shared" si="5"/>
        <v>0.57142857142857151</v>
      </c>
      <c r="J10" s="5" t="s">
        <v>35</v>
      </c>
    </row>
    <row r="11" spans="1:10" x14ac:dyDescent="0.45">
      <c r="A11" t="s">
        <v>27</v>
      </c>
      <c r="B11" s="5" t="s">
        <v>19</v>
      </c>
      <c r="C11" t="s">
        <v>47</v>
      </c>
      <c r="D11">
        <v>7</v>
      </c>
      <c r="E11">
        <v>13</v>
      </c>
      <c r="F11">
        <v>0</v>
      </c>
      <c r="G11">
        <f t="shared" si="0"/>
        <v>0.35</v>
      </c>
      <c r="H11">
        <f t="shared" si="1"/>
        <v>1</v>
      </c>
      <c r="I11">
        <f t="shared" si="2"/>
        <v>0.51851851851851849</v>
      </c>
      <c r="J11" s="5" t="s">
        <v>35</v>
      </c>
    </row>
    <row r="12" spans="1:10" x14ac:dyDescent="0.45">
      <c r="A12" t="s">
        <v>27</v>
      </c>
      <c r="B12" s="5" t="s">
        <v>19</v>
      </c>
      <c r="C12" t="s">
        <v>48</v>
      </c>
      <c r="D12">
        <v>5</v>
      </c>
      <c r="E12">
        <v>9</v>
      </c>
      <c r="F12">
        <v>5</v>
      </c>
      <c r="G12">
        <f t="shared" ref="G12:G21" si="6">D12/(D12+E12)</f>
        <v>0.35714285714285715</v>
      </c>
      <c r="H12">
        <f t="shared" ref="H12:H21" si="7">D12/(D12+F12)</f>
        <v>0.5</v>
      </c>
      <c r="I12">
        <f t="shared" ref="I12:I21" si="8">2*G12*H12/(G12+H12)</f>
        <v>0.41666666666666663</v>
      </c>
      <c r="J12" s="5" t="s">
        <v>35</v>
      </c>
    </row>
    <row r="13" spans="1:10" ht="14.65" thickBot="1" x14ac:dyDescent="0.5">
      <c r="A13" s="1" t="s">
        <v>27</v>
      </c>
      <c r="B13" s="7" t="s">
        <v>19</v>
      </c>
      <c r="C13" s="1" t="s">
        <v>49</v>
      </c>
      <c r="D13" s="1">
        <v>6</v>
      </c>
      <c r="E13" s="1">
        <v>35</v>
      </c>
      <c r="F13" s="1">
        <v>1</v>
      </c>
      <c r="G13" s="1">
        <f t="shared" si="6"/>
        <v>0.14634146341463414</v>
      </c>
      <c r="H13" s="1">
        <f t="shared" si="7"/>
        <v>0.8571428571428571</v>
      </c>
      <c r="I13" s="1">
        <f t="shared" si="8"/>
        <v>0.25</v>
      </c>
      <c r="J13" s="7" t="s">
        <v>35</v>
      </c>
    </row>
    <row r="14" spans="1:10" x14ac:dyDescent="0.45">
      <c r="A14" t="s">
        <v>18</v>
      </c>
      <c r="B14" s="5" t="s">
        <v>19</v>
      </c>
      <c r="C14" t="s">
        <v>46</v>
      </c>
      <c r="D14">
        <v>6</v>
      </c>
      <c r="E14">
        <v>5</v>
      </c>
      <c r="F14">
        <v>0</v>
      </c>
      <c r="G14">
        <f t="shared" si="6"/>
        <v>0.54545454545454541</v>
      </c>
      <c r="H14">
        <f t="shared" si="7"/>
        <v>1</v>
      </c>
      <c r="I14">
        <f t="shared" si="8"/>
        <v>0.70588235294117641</v>
      </c>
      <c r="J14" s="5" t="s">
        <v>34</v>
      </c>
    </row>
    <row r="15" spans="1:10" x14ac:dyDescent="0.45">
      <c r="A15" t="s">
        <v>18</v>
      </c>
      <c r="B15" s="5" t="s">
        <v>19</v>
      </c>
      <c r="C15" t="s">
        <v>47</v>
      </c>
      <c r="D15">
        <v>7</v>
      </c>
      <c r="E15">
        <v>4</v>
      </c>
      <c r="F15">
        <v>0</v>
      </c>
      <c r="G15">
        <f t="shared" si="6"/>
        <v>0.63636363636363635</v>
      </c>
      <c r="H15">
        <f t="shared" si="7"/>
        <v>1</v>
      </c>
      <c r="I15">
        <f t="shared" si="8"/>
        <v>0.77777777777777779</v>
      </c>
      <c r="J15" s="5" t="s">
        <v>34</v>
      </c>
    </row>
    <row r="16" spans="1:10" x14ac:dyDescent="0.45">
      <c r="A16" t="s">
        <v>18</v>
      </c>
      <c r="B16" s="5" t="s">
        <v>19</v>
      </c>
      <c r="C16" t="s">
        <v>48</v>
      </c>
      <c r="D16">
        <v>6</v>
      </c>
      <c r="E16">
        <v>11</v>
      </c>
      <c r="F16">
        <v>4</v>
      </c>
      <c r="G16">
        <f t="shared" si="6"/>
        <v>0.35294117647058826</v>
      </c>
      <c r="H16">
        <f t="shared" si="7"/>
        <v>0.6</v>
      </c>
      <c r="I16">
        <f t="shared" si="8"/>
        <v>0.44444444444444448</v>
      </c>
      <c r="J16" s="5" t="s">
        <v>34</v>
      </c>
    </row>
    <row r="17" spans="1:10" ht="14.65" thickBot="1" x14ac:dyDescent="0.5">
      <c r="A17" s="1" t="s">
        <v>18</v>
      </c>
      <c r="B17" s="7" t="s">
        <v>19</v>
      </c>
      <c r="C17" s="1" t="s">
        <v>49</v>
      </c>
      <c r="D17" s="1">
        <v>7</v>
      </c>
      <c r="E17" s="1">
        <v>33</v>
      </c>
      <c r="F17" s="1">
        <v>0</v>
      </c>
      <c r="G17" s="1">
        <f t="shared" si="6"/>
        <v>0.17499999999999999</v>
      </c>
      <c r="H17" s="1">
        <f t="shared" si="7"/>
        <v>1</v>
      </c>
      <c r="I17" s="1">
        <f t="shared" si="8"/>
        <v>0.2978723404255319</v>
      </c>
      <c r="J17" s="7" t="s">
        <v>34</v>
      </c>
    </row>
    <row r="18" spans="1:10" x14ac:dyDescent="0.45">
      <c r="A18" t="s">
        <v>23</v>
      </c>
      <c r="B18" s="5" t="s">
        <v>19</v>
      </c>
      <c r="C18" t="s">
        <v>46</v>
      </c>
      <c r="D18">
        <v>6</v>
      </c>
      <c r="E18">
        <v>6</v>
      </c>
      <c r="F18">
        <v>0</v>
      </c>
      <c r="G18">
        <f t="shared" si="6"/>
        <v>0.5</v>
      </c>
      <c r="H18">
        <f t="shared" si="7"/>
        <v>1</v>
      </c>
      <c r="I18">
        <f t="shared" si="8"/>
        <v>0.66666666666666663</v>
      </c>
      <c r="J18" s="5" t="s">
        <v>34</v>
      </c>
    </row>
    <row r="19" spans="1:10" x14ac:dyDescent="0.45">
      <c r="A19" t="s">
        <v>23</v>
      </c>
      <c r="B19" s="5" t="s">
        <v>19</v>
      </c>
      <c r="C19" t="s">
        <v>47</v>
      </c>
      <c r="D19">
        <v>7</v>
      </c>
      <c r="E19">
        <v>5</v>
      </c>
      <c r="F19">
        <v>0</v>
      </c>
      <c r="G19">
        <f t="shared" si="6"/>
        <v>0.58333333333333337</v>
      </c>
      <c r="H19">
        <f t="shared" si="7"/>
        <v>1</v>
      </c>
      <c r="I19">
        <f t="shared" si="8"/>
        <v>0.73684210526315785</v>
      </c>
      <c r="J19" s="5" t="s">
        <v>34</v>
      </c>
    </row>
    <row r="20" spans="1:10" x14ac:dyDescent="0.45">
      <c r="A20" t="s">
        <v>23</v>
      </c>
      <c r="B20" s="5" t="s">
        <v>19</v>
      </c>
      <c r="C20" t="s">
        <v>48</v>
      </c>
      <c r="D20">
        <v>6</v>
      </c>
      <c r="E20">
        <v>14</v>
      </c>
      <c r="F20">
        <v>4</v>
      </c>
      <c r="G20">
        <f t="shared" si="6"/>
        <v>0.3</v>
      </c>
      <c r="H20">
        <f t="shared" si="7"/>
        <v>0.6</v>
      </c>
      <c r="I20">
        <f t="shared" si="8"/>
        <v>0.4</v>
      </c>
      <c r="J20" s="5" t="s">
        <v>34</v>
      </c>
    </row>
    <row r="21" spans="1:10" ht="14.65" thickBot="1" x14ac:dyDescent="0.5">
      <c r="A21" s="1" t="s">
        <v>23</v>
      </c>
      <c r="B21" s="7" t="s">
        <v>19</v>
      </c>
      <c r="C21" s="1" t="s">
        <v>49</v>
      </c>
      <c r="D21" s="1">
        <v>7</v>
      </c>
      <c r="E21" s="1">
        <v>38</v>
      </c>
      <c r="F21" s="1">
        <v>0</v>
      </c>
      <c r="G21" s="1">
        <f t="shared" si="6"/>
        <v>0.15555555555555556</v>
      </c>
      <c r="H21" s="1">
        <f t="shared" si="7"/>
        <v>1</v>
      </c>
      <c r="I21" s="1">
        <f t="shared" si="8"/>
        <v>0.26923076923076927</v>
      </c>
      <c r="J21" s="7" t="s">
        <v>34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GEval</vt:lpstr>
      <vt:lpstr>Folha2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Goncalo Bandos Rodrigues</dc:creator>
  <cp:lastModifiedBy>Tiago Goncalo Bandos Rodrigues</cp:lastModifiedBy>
  <dcterms:created xsi:type="dcterms:W3CDTF">2025-08-02T16:38:18Z</dcterms:created>
  <dcterms:modified xsi:type="dcterms:W3CDTF">2025-08-03T20:42:02Z</dcterms:modified>
</cp:coreProperties>
</file>