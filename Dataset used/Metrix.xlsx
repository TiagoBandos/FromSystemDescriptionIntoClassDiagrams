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35196\Desktop\Papers\Dataset\source datasets\Evaluating Large Language Models in\"/>
    </mc:Choice>
  </mc:AlternateContent>
  <xr:revisionPtr revIDLastSave="0" documentId="13_ncr:1_{0EEA0044-4A32-4E56-8493-EAA254C06562}" xr6:coauthVersionLast="47" xr6:coauthVersionMax="47" xr10:uidLastSave="{00000000-0000-0000-0000-000000000000}"/>
  <bookViews>
    <workbookView xWindow="0" yWindow="1103" windowWidth="21600" windowHeight="11054" xr2:uid="{00000000-000D-0000-FFFF-FFFF00000000}"/>
  </bookViews>
  <sheets>
    <sheet name="Confusion metrix " sheetId="1" r:id="rId1"/>
    <sheet name="Confusion metrix tableau" sheetId="4" r:id="rId2"/>
    <sheet name="G_eval" sheetId="3" r:id="rId3"/>
    <sheet name="Confusion Claude Models" sheetId="6" r:id="rId4"/>
    <sheet name="G-eval Claude Models" sheetId="7" r:id="rId5"/>
    <sheet name="Confusion metrix self-improve" sheetId="8" r:id="rId6"/>
    <sheet name="G-eval self-improve" sheetId="9" r:id="rId7"/>
    <sheet name="Final evaluation" sheetId="13" r:id="rId8"/>
    <sheet name="Folha1" sheetId="14" r:id="rId9"/>
    <sheet name="graphics" sheetId="5" r:id="rId10"/>
  </sheets>
  <definedNames>
    <definedName name="DadosExternos_3" localSheetId="7" hidden="1">'Final evaluation'!$A$1:$Q$39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7" i="14" l="1"/>
  <c r="H81" i="14"/>
  <c r="I81" i="14" s="1"/>
  <c r="G81" i="14"/>
  <c r="H80" i="14"/>
  <c r="G80" i="14"/>
  <c r="I80" i="14" s="1"/>
  <c r="I79" i="14"/>
  <c r="H79" i="14"/>
  <c r="G79" i="14"/>
  <c r="H78" i="14"/>
  <c r="G78" i="14"/>
  <c r="I78" i="14" s="1"/>
  <c r="H77" i="14"/>
  <c r="G77" i="14"/>
  <c r="I77" i="14" s="1"/>
  <c r="H76" i="14"/>
  <c r="G76" i="14"/>
  <c r="I76" i="14" s="1"/>
  <c r="I75" i="14"/>
  <c r="H75" i="14"/>
  <c r="G75" i="14"/>
  <c r="H74" i="14"/>
  <c r="I74" i="14" s="1"/>
  <c r="G74" i="14"/>
  <c r="G27" i="14"/>
  <c r="H73" i="14"/>
  <c r="G73" i="14"/>
  <c r="I73" i="14" s="1"/>
  <c r="H72" i="14"/>
  <c r="G72" i="14"/>
  <c r="I72" i="14" s="1"/>
  <c r="H71" i="14"/>
  <c r="G71" i="14"/>
  <c r="I71" i="14" s="1"/>
  <c r="H70" i="14"/>
  <c r="G70" i="14"/>
  <c r="I70" i="14" s="1"/>
  <c r="H69" i="14"/>
  <c r="G69" i="14"/>
  <c r="I69" i="14" s="1"/>
  <c r="I68" i="14"/>
  <c r="H68" i="14"/>
  <c r="G68" i="14"/>
  <c r="H67" i="14"/>
  <c r="G67" i="14"/>
  <c r="I67" i="14" s="1"/>
  <c r="H66" i="14"/>
  <c r="G66" i="14"/>
  <c r="I66" i="14" s="1"/>
  <c r="H65" i="14"/>
  <c r="G65" i="14"/>
  <c r="I65" i="14" s="1"/>
  <c r="H64" i="14"/>
  <c r="G64" i="14"/>
  <c r="I64" i="14" s="1"/>
  <c r="H63" i="14"/>
  <c r="G63" i="14"/>
  <c r="I63" i="14" s="1"/>
  <c r="H62" i="14"/>
  <c r="G62" i="14"/>
  <c r="I62" i="14" s="1"/>
  <c r="H61" i="14"/>
  <c r="G61" i="14"/>
  <c r="I61" i="14" s="1"/>
  <c r="I60" i="14"/>
  <c r="H60" i="14"/>
  <c r="G60" i="14"/>
  <c r="H59" i="14"/>
  <c r="G59" i="14"/>
  <c r="I59" i="14" s="1"/>
  <c r="H58" i="14"/>
  <c r="G58" i="14"/>
  <c r="I58" i="14" s="1"/>
  <c r="H57" i="14"/>
  <c r="I57" i="14"/>
  <c r="H56" i="14"/>
  <c r="G56" i="14"/>
  <c r="I56" i="14" s="1"/>
  <c r="H55" i="14"/>
  <c r="G55" i="14"/>
  <c r="I55" i="14" s="1"/>
  <c r="H54" i="14"/>
  <c r="G54" i="14"/>
  <c r="I54" i="14" s="1"/>
  <c r="H53" i="14"/>
  <c r="G53" i="14"/>
  <c r="I53" i="14" s="1"/>
  <c r="I52" i="14"/>
  <c r="H52" i="14"/>
  <c r="G52" i="14"/>
  <c r="H51" i="14"/>
  <c r="G51" i="14"/>
  <c r="I51" i="14" s="1"/>
  <c r="H50" i="14"/>
  <c r="G50" i="14"/>
  <c r="H49" i="14"/>
  <c r="G49" i="14"/>
  <c r="I49" i="14" s="1"/>
  <c r="H48" i="14"/>
  <c r="G48" i="14"/>
  <c r="I48" i="14" s="1"/>
  <c r="H47" i="14"/>
  <c r="G47" i="14"/>
  <c r="I47" i="14" s="1"/>
  <c r="H46" i="14"/>
  <c r="G46" i="14"/>
  <c r="H45" i="14"/>
  <c r="G45" i="14"/>
  <c r="I45" i="14" s="1"/>
  <c r="H44" i="14"/>
  <c r="G44" i="14"/>
  <c r="I44" i="14" s="1"/>
  <c r="H43" i="14"/>
  <c r="G43" i="14"/>
  <c r="I43" i="14" s="1"/>
  <c r="H42" i="14"/>
  <c r="G42" i="14"/>
  <c r="I42" i="14" s="1"/>
  <c r="H41" i="14"/>
  <c r="G41" i="14"/>
  <c r="I41" i="14" s="1"/>
  <c r="H40" i="14"/>
  <c r="G40" i="14"/>
  <c r="I40" i="14" s="1"/>
  <c r="H39" i="14"/>
  <c r="G39" i="14"/>
  <c r="I39" i="14" s="1"/>
  <c r="H38" i="14"/>
  <c r="G38" i="14"/>
  <c r="H37" i="14"/>
  <c r="G37" i="14"/>
  <c r="H36" i="14"/>
  <c r="G36" i="14"/>
  <c r="H35" i="14"/>
  <c r="G35" i="14"/>
  <c r="I35" i="14" s="1"/>
  <c r="H34" i="14"/>
  <c r="G34" i="14"/>
  <c r="H33" i="14"/>
  <c r="G33" i="14"/>
  <c r="H32" i="14"/>
  <c r="G32" i="14"/>
  <c r="H31" i="14"/>
  <c r="G31" i="14"/>
  <c r="I31" i="14" s="1"/>
  <c r="H30" i="14"/>
  <c r="G30" i="14"/>
  <c r="I30" i="14" s="1"/>
  <c r="H29" i="14"/>
  <c r="G29" i="14"/>
  <c r="I29" i="14" s="1"/>
  <c r="H28" i="14"/>
  <c r="G28" i="14"/>
  <c r="I28" i="14" s="1"/>
  <c r="H27" i="14"/>
  <c r="I27" i="14"/>
  <c r="H26" i="14"/>
  <c r="G26" i="14"/>
  <c r="I26" i="14" s="1"/>
  <c r="H25" i="14"/>
  <c r="G25" i="14"/>
  <c r="H24" i="14"/>
  <c r="G24" i="14"/>
  <c r="I24" i="14" s="1"/>
  <c r="H23" i="14"/>
  <c r="G23" i="14"/>
  <c r="H22" i="14"/>
  <c r="G22" i="14"/>
  <c r="I22" i="14" s="1"/>
  <c r="H21" i="14"/>
  <c r="G21" i="14"/>
  <c r="I21" i="14" s="1"/>
  <c r="H20" i="14"/>
  <c r="G20" i="14"/>
  <c r="H19" i="14"/>
  <c r="G19" i="14"/>
  <c r="I19" i="14" s="1"/>
  <c r="H18" i="14"/>
  <c r="G18" i="14"/>
  <c r="I18" i="14" s="1"/>
  <c r="H17" i="14"/>
  <c r="G17" i="14"/>
  <c r="I17" i="14" s="1"/>
  <c r="H16" i="14"/>
  <c r="G16" i="14"/>
  <c r="I16" i="14" s="1"/>
  <c r="H15" i="14"/>
  <c r="G15" i="14"/>
  <c r="I15" i="14" s="1"/>
  <c r="H14" i="14"/>
  <c r="G14" i="14"/>
  <c r="I14" i="14" s="1"/>
  <c r="G10" i="14"/>
  <c r="H10" i="14"/>
  <c r="G11" i="14"/>
  <c r="I11" i="14" s="1"/>
  <c r="H11" i="14"/>
  <c r="G12" i="14"/>
  <c r="H12" i="14"/>
  <c r="I12" i="14" s="1"/>
  <c r="G13" i="14"/>
  <c r="H13" i="14"/>
  <c r="I13" i="14"/>
  <c r="H6" i="14"/>
  <c r="H7" i="14"/>
  <c r="H8" i="14"/>
  <c r="H9" i="14"/>
  <c r="G6" i="14"/>
  <c r="I6" i="14" s="1"/>
  <c r="G7" i="14"/>
  <c r="I7" i="14" s="1"/>
  <c r="G8" i="14"/>
  <c r="G9" i="14"/>
  <c r="I2" i="8"/>
  <c r="H3" i="14"/>
  <c r="H4" i="14"/>
  <c r="H5" i="14"/>
  <c r="H2" i="14"/>
  <c r="H2" i="8"/>
  <c r="G3" i="14"/>
  <c r="I3" i="14" s="1"/>
  <c r="G4" i="14"/>
  <c r="I4" i="14" s="1"/>
  <c r="G5" i="14"/>
  <c r="G2" i="14"/>
  <c r="I2" i="14" s="1"/>
  <c r="G2" i="8"/>
  <c r="Q22" i="13"/>
  <c r="Q23" i="13"/>
  <c r="Q24" i="13"/>
  <c r="Q25" i="13"/>
  <c r="Q26" i="13"/>
  <c r="Q27" i="13"/>
  <c r="Q28" i="13"/>
  <c r="Q29" i="13"/>
  <c r="Q30" i="13"/>
  <c r="Q31" i="13"/>
  <c r="Q32" i="13"/>
  <c r="Q33" i="13"/>
  <c r="Q34" i="13"/>
  <c r="Q35" i="13"/>
  <c r="Q36" i="13"/>
  <c r="Q37" i="13"/>
  <c r="Q38" i="13"/>
  <c r="Q39" i="13"/>
  <c r="E13" i="13"/>
  <c r="Q13" i="13" s="1"/>
  <c r="E14" i="13"/>
  <c r="Q14" i="13" s="1"/>
  <c r="E15" i="13"/>
  <c r="E16" i="13"/>
  <c r="E17" i="13"/>
  <c r="E18" i="13"/>
  <c r="E19" i="13"/>
  <c r="Q19" i="13" s="1"/>
  <c r="E20" i="13"/>
  <c r="Q20" i="13" s="1"/>
  <c r="E21" i="13"/>
  <c r="Q21" i="13" s="1"/>
  <c r="E3" i="13"/>
  <c r="Q3" i="13" s="1"/>
  <c r="E4" i="13"/>
  <c r="Q4" i="13" s="1"/>
  <c r="E5" i="13"/>
  <c r="E6" i="13"/>
  <c r="Q6" i="13" s="1"/>
  <c r="E7" i="13"/>
  <c r="Q7" i="13" s="1"/>
  <c r="E8" i="13"/>
  <c r="Q8" i="13" s="1"/>
  <c r="E9" i="13"/>
  <c r="Q9" i="13" s="1"/>
  <c r="E10" i="13"/>
  <c r="Q10" i="13" s="1"/>
  <c r="E11" i="13"/>
  <c r="Q11" i="13" s="1"/>
  <c r="E12" i="13"/>
  <c r="Q12" i="13" s="1"/>
  <c r="Q15" i="13"/>
  <c r="Q16" i="13"/>
  <c r="Q17" i="13"/>
  <c r="Q18" i="13"/>
  <c r="E2" i="13"/>
  <c r="Q2" i="13" s="1"/>
  <c r="Q5" i="13"/>
  <c r="Q2" i="9"/>
  <c r="N10" i="9"/>
  <c r="E10" i="9"/>
  <c r="Q10" i="9" s="1"/>
  <c r="N9" i="9"/>
  <c r="E9" i="9"/>
  <c r="Q9" i="9" s="1"/>
  <c r="N8" i="9"/>
  <c r="E8" i="9"/>
  <c r="Q8" i="9" s="1"/>
  <c r="E7" i="9"/>
  <c r="Q7" i="9" s="1"/>
  <c r="E6" i="9"/>
  <c r="Q6" i="9" s="1"/>
  <c r="E2" i="9"/>
  <c r="E3" i="9"/>
  <c r="Q3" i="9" s="1"/>
  <c r="E4" i="9"/>
  <c r="Q4" i="9" s="1"/>
  <c r="E5" i="9"/>
  <c r="Q5" i="9"/>
  <c r="N2" i="9"/>
  <c r="H17" i="8"/>
  <c r="G17" i="8"/>
  <c r="I17" i="8" s="1"/>
  <c r="H16" i="8"/>
  <c r="G16" i="8"/>
  <c r="I16" i="8" s="1"/>
  <c r="H15" i="8"/>
  <c r="G15" i="8"/>
  <c r="I15" i="8" s="1"/>
  <c r="H14" i="8"/>
  <c r="G14" i="8"/>
  <c r="I14" i="8" s="1"/>
  <c r="H13" i="8"/>
  <c r="G13" i="8"/>
  <c r="I13" i="8" s="1"/>
  <c r="H12" i="8"/>
  <c r="G12" i="8"/>
  <c r="I12" i="8" s="1"/>
  <c r="H11" i="8"/>
  <c r="G11" i="8"/>
  <c r="I11" i="8" s="1"/>
  <c r="H10" i="8"/>
  <c r="G10" i="8"/>
  <c r="I10" i="8" s="1"/>
  <c r="H9" i="8"/>
  <c r="G9" i="8"/>
  <c r="H8" i="8"/>
  <c r="G8" i="8"/>
  <c r="I8" i="8" s="1"/>
  <c r="H7" i="8"/>
  <c r="G7" i="8"/>
  <c r="I7" i="8" s="1"/>
  <c r="H6" i="8"/>
  <c r="G6" i="8"/>
  <c r="H5" i="8"/>
  <c r="G5" i="8"/>
  <c r="H4" i="8"/>
  <c r="G4" i="8"/>
  <c r="I4" i="8" s="1"/>
  <c r="H3" i="8"/>
  <c r="G3" i="8"/>
  <c r="I3" i="8" s="1"/>
  <c r="Q8" i="7"/>
  <c r="Q14" i="7"/>
  <c r="Q15" i="7"/>
  <c r="Q13" i="7"/>
  <c r="Q4" i="7"/>
  <c r="Q5" i="7"/>
  <c r="Q6" i="7"/>
  <c r="Q7" i="7"/>
  <c r="Q9" i="7"/>
  <c r="Q10" i="7"/>
  <c r="Q11" i="7"/>
  <c r="Q12" i="7"/>
  <c r="Q2" i="7"/>
  <c r="Q3" i="7"/>
  <c r="H42" i="6"/>
  <c r="G42" i="6"/>
  <c r="H57" i="6"/>
  <c r="G57" i="6"/>
  <c r="I57" i="6" s="1"/>
  <c r="H56" i="6"/>
  <c r="G56" i="6"/>
  <c r="I56" i="6" s="1"/>
  <c r="H55" i="6"/>
  <c r="G55" i="6"/>
  <c r="I55" i="6" s="1"/>
  <c r="H54" i="6"/>
  <c r="G54" i="6"/>
  <c r="H53" i="6"/>
  <c r="G53" i="6"/>
  <c r="I53" i="6" s="1"/>
  <c r="H52" i="6"/>
  <c r="G52" i="6"/>
  <c r="H51" i="6"/>
  <c r="G51" i="6"/>
  <c r="I51" i="6" s="1"/>
  <c r="H50" i="6"/>
  <c r="G50" i="6"/>
  <c r="H49" i="6"/>
  <c r="G49" i="6"/>
  <c r="H48" i="6"/>
  <c r="G48" i="6"/>
  <c r="H47" i="6"/>
  <c r="G47" i="6"/>
  <c r="H46" i="6"/>
  <c r="G46" i="6"/>
  <c r="H45" i="6"/>
  <c r="G45" i="6"/>
  <c r="H44" i="6"/>
  <c r="G44" i="6"/>
  <c r="H43" i="6"/>
  <c r="G43" i="6"/>
  <c r="I43" i="6" s="1"/>
  <c r="G2" i="6"/>
  <c r="H2" i="6"/>
  <c r="I2" i="6"/>
  <c r="G3" i="6"/>
  <c r="H3" i="6"/>
  <c r="I3" i="6"/>
  <c r="G4" i="6"/>
  <c r="H4" i="6"/>
  <c r="I4" i="6"/>
  <c r="G5" i="6"/>
  <c r="H5" i="6"/>
  <c r="I5" i="6"/>
  <c r="G6" i="6"/>
  <c r="H6" i="6"/>
  <c r="I6" i="6"/>
  <c r="G7" i="6"/>
  <c r="I7" i="6" s="1"/>
  <c r="H7" i="6"/>
  <c r="G8" i="6"/>
  <c r="H8" i="6"/>
  <c r="I8" i="6"/>
  <c r="H41" i="6"/>
  <c r="G41" i="6"/>
  <c r="H40" i="6"/>
  <c r="G40" i="6"/>
  <c r="I40" i="6" s="1"/>
  <c r="H39" i="6"/>
  <c r="G39" i="6"/>
  <c r="H38" i="6"/>
  <c r="G38" i="6"/>
  <c r="I38" i="6" s="1"/>
  <c r="H37" i="6"/>
  <c r="G37" i="6"/>
  <c r="H36" i="6"/>
  <c r="G36" i="6"/>
  <c r="H35" i="6"/>
  <c r="G35" i="6"/>
  <c r="H34" i="6"/>
  <c r="G34" i="6"/>
  <c r="I34" i="6" s="1"/>
  <c r="H33" i="6"/>
  <c r="G33" i="6"/>
  <c r="H32" i="6"/>
  <c r="G32" i="6"/>
  <c r="H31" i="6"/>
  <c r="G31" i="6"/>
  <c r="I31" i="6" s="1"/>
  <c r="H30" i="6"/>
  <c r="G30" i="6"/>
  <c r="I30" i="6" s="1"/>
  <c r="H29" i="6"/>
  <c r="G29" i="6"/>
  <c r="H28" i="6"/>
  <c r="G28" i="6"/>
  <c r="I28" i="6" s="1"/>
  <c r="H27" i="6"/>
  <c r="G27" i="6"/>
  <c r="I27" i="6" s="1"/>
  <c r="H26" i="6"/>
  <c r="G26" i="6"/>
  <c r="I26" i="6" s="1"/>
  <c r="H25" i="6"/>
  <c r="G25" i="6"/>
  <c r="H24" i="6"/>
  <c r="G24" i="6"/>
  <c r="H23" i="6"/>
  <c r="G23" i="6"/>
  <c r="I23" i="6" s="1"/>
  <c r="H22" i="6"/>
  <c r="G22" i="6"/>
  <c r="H21" i="6"/>
  <c r="G21" i="6"/>
  <c r="H20" i="6"/>
  <c r="G20" i="6"/>
  <c r="H19" i="6"/>
  <c r="G19" i="6"/>
  <c r="H18" i="6"/>
  <c r="G18" i="6"/>
  <c r="I18" i="6" s="1"/>
  <c r="H17" i="6"/>
  <c r="G17" i="6"/>
  <c r="H16" i="6"/>
  <c r="G16" i="6"/>
  <c r="H15" i="6"/>
  <c r="G15" i="6"/>
  <c r="I15" i="6" s="1"/>
  <c r="H14" i="6"/>
  <c r="G14" i="6"/>
  <c r="H13" i="6"/>
  <c r="G13" i="6"/>
  <c r="I13" i="6" s="1"/>
  <c r="H12" i="6"/>
  <c r="G12" i="6"/>
  <c r="I12" i="6" s="1"/>
  <c r="H11" i="6"/>
  <c r="G11" i="6"/>
  <c r="I11" i="6" s="1"/>
  <c r="H10" i="6"/>
  <c r="G10" i="6"/>
  <c r="H9" i="6"/>
  <c r="G9" i="6"/>
  <c r="I9" i="6" s="1"/>
  <c r="N2" i="7"/>
  <c r="N3" i="7"/>
  <c r="N4" i="7"/>
  <c r="N5" i="7"/>
  <c r="N6" i="7"/>
  <c r="N8" i="7"/>
  <c r="N9" i="7"/>
  <c r="N10" i="7"/>
  <c r="N11" i="7"/>
  <c r="N12" i="7"/>
  <c r="N13" i="7"/>
  <c r="N14" i="7"/>
  <c r="N15" i="7"/>
  <c r="N7" i="7"/>
  <c r="E3" i="7"/>
  <c r="E4" i="7"/>
  <c r="E5" i="7"/>
  <c r="E6" i="7"/>
  <c r="E7" i="7"/>
  <c r="E8" i="7"/>
  <c r="E9" i="7"/>
  <c r="E10" i="7"/>
  <c r="E11" i="7"/>
  <c r="E12" i="7"/>
  <c r="E13" i="7"/>
  <c r="E14" i="7"/>
  <c r="E15" i="7"/>
  <c r="E2" i="7"/>
  <c r="F5" i="3"/>
  <c r="F6" i="3"/>
  <c r="F7" i="3"/>
  <c r="F8" i="3"/>
  <c r="F9" i="3"/>
  <c r="F10" i="3"/>
  <c r="F11" i="3"/>
  <c r="F12" i="3"/>
  <c r="F13" i="3"/>
  <c r="F14" i="3"/>
  <c r="F15" i="3"/>
  <c r="F16" i="3"/>
  <c r="F4" i="3"/>
  <c r="F3" i="3"/>
  <c r="F2" i="3"/>
  <c r="O14" i="3"/>
  <c r="O16" i="3"/>
  <c r="O15" i="3"/>
  <c r="O13" i="3"/>
  <c r="H61" i="4"/>
  <c r="G61" i="4"/>
  <c r="I61" i="4" s="1"/>
  <c r="H60" i="4"/>
  <c r="G60" i="4"/>
  <c r="H59" i="4"/>
  <c r="G59" i="4"/>
  <c r="H58" i="4"/>
  <c r="G58" i="4"/>
  <c r="H57" i="4"/>
  <c r="G57" i="4"/>
  <c r="H56" i="4"/>
  <c r="G56" i="4"/>
  <c r="H55" i="4"/>
  <c r="G55" i="4"/>
  <c r="H54" i="4"/>
  <c r="G54" i="4"/>
  <c r="I54" i="4" s="1"/>
  <c r="H53" i="4"/>
  <c r="G53" i="4"/>
  <c r="H52" i="4"/>
  <c r="G52" i="4"/>
  <c r="H51" i="4"/>
  <c r="G51" i="4"/>
  <c r="H50" i="4"/>
  <c r="G50" i="4"/>
  <c r="I50" i="4" s="1"/>
  <c r="G49" i="4"/>
  <c r="I49" i="4" s="1"/>
  <c r="H49" i="4"/>
  <c r="G48" i="4"/>
  <c r="I48" i="4" s="1"/>
  <c r="H48" i="4"/>
  <c r="H47" i="4"/>
  <c r="G47" i="4"/>
  <c r="I47" i="4" s="1"/>
  <c r="G46" i="4"/>
  <c r="H46" i="4"/>
  <c r="I46" i="4" s="1"/>
  <c r="O12" i="3"/>
  <c r="O11" i="3"/>
  <c r="O10" i="3"/>
  <c r="O9" i="3"/>
  <c r="O8" i="3"/>
  <c r="O7" i="3"/>
  <c r="O6" i="3"/>
  <c r="G45" i="4"/>
  <c r="H45" i="4"/>
  <c r="G44" i="4"/>
  <c r="I44" i="4" s="1"/>
  <c r="H44" i="4"/>
  <c r="G43" i="4"/>
  <c r="H43" i="4"/>
  <c r="G42" i="4"/>
  <c r="H42" i="4"/>
  <c r="G41" i="4"/>
  <c r="H41" i="4"/>
  <c r="G40" i="4"/>
  <c r="H40" i="4"/>
  <c r="G39" i="4"/>
  <c r="H39" i="4"/>
  <c r="H38" i="4"/>
  <c r="G38" i="4"/>
  <c r="I38" i="4" s="1"/>
  <c r="G37" i="4"/>
  <c r="H37" i="4"/>
  <c r="G36" i="4"/>
  <c r="I36" i="4" s="1"/>
  <c r="H36" i="4"/>
  <c r="G35" i="4"/>
  <c r="H35" i="4"/>
  <c r="I35" i="4" s="1"/>
  <c r="H34" i="4"/>
  <c r="G34" i="4"/>
  <c r="I34" i="4" s="1"/>
  <c r="H33" i="4"/>
  <c r="G33" i="4"/>
  <c r="I33" i="4" s="1"/>
  <c r="H32" i="4"/>
  <c r="G32" i="4"/>
  <c r="I32" i="4" s="1"/>
  <c r="H31" i="4"/>
  <c r="G31" i="4"/>
  <c r="I31" i="4" s="1"/>
  <c r="H30" i="4"/>
  <c r="G30" i="4"/>
  <c r="I30" i="4" s="1"/>
  <c r="H29" i="4"/>
  <c r="G29" i="4"/>
  <c r="H28" i="4"/>
  <c r="G28" i="4"/>
  <c r="I28" i="4" s="1"/>
  <c r="H27" i="4"/>
  <c r="G27" i="4"/>
  <c r="I27" i="4" s="1"/>
  <c r="H26" i="4"/>
  <c r="G26" i="4"/>
  <c r="H25" i="4"/>
  <c r="G25" i="4"/>
  <c r="I25" i="4" s="1"/>
  <c r="H24" i="4"/>
  <c r="G24" i="4"/>
  <c r="H23" i="4"/>
  <c r="I23" i="4" s="1"/>
  <c r="G23" i="4"/>
  <c r="H22" i="4"/>
  <c r="G22" i="4"/>
  <c r="I22" i="4" s="1"/>
  <c r="H21" i="4"/>
  <c r="G21" i="4"/>
  <c r="I21" i="4" s="1"/>
  <c r="H20" i="4"/>
  <c r="G20" i="4"/>
  <c r="I20" i="4" s="1"/>
  <c r="H19" i="4"/>
  <c r="G19" i="4"/>
  <c r="I19" i="4" s="1"/>
  <c r="H18" i="4"/>
  <c r="G18" i="4"/>
  <c r="H17" i="4"/>
  <c r="G17" i="4"/>
  <c r="I17" i="4" s="1"/>
  <c r="H16" i="4"/>
  <c r="G16" i="4"/>
  <c r="H15" i="4"/>
  <c r="G15" i="4"/>
  <c r="H14" i="4"/>
  <c r="G14" i="4"/>
  <c r="I14" i="4" s="1"/>
  <c r="H13" i="4"/>
  <c r="G13" i="4"/>
  <c r="I13" i="4" s="1"/>
  <c r="H12" i="4"/>
  <c r="G12" i="4"/>
  <c r="I12" i="4" s="1"/>
  <c r="H11" i="4"/>
  <c r="G11" i="4"/>
  <c r="I11" i="4" s="1"/>
  <c r="H10" i="4"/>
  <c r="G10" i="4"/>
  <c r="I10" i="4" s="1"/>
  <c r="AC31" i="1"/>
  <c r="AB31" i="1"/>
  <c r="AD31" i="1" s="1"/>
  <c r="V31" i="1"/>
  <c r="U31" i="1"/>
  <c r="W31" i="1" s="1"/>
  <c r="O31" i="1"/>
  <c r="N31" i="1"/>
  <c r="P31" i="1" s="1"/>
  <c r="H31" i="1"/>
  <c r="G31" i="1"/>
  <c r="I31" i="1" s="1"/>
  <c r="AC30" i="1"/>
  <c r="AB30" i="1"/>
  <c r="AD30" i="1" s="1"/>
  <c r="V30" i="1"/>
  <c r="U30" i="1"/>
  <c r="W30" i="1" s="1"/>
  <c r="P30" i="1"/>
  <c r="O30" i="1"/>
  <c r="N30" i="1"/>
  <c r="H30" i="1"/>
  <c r="G30" i="1"/>
  <c r="I30" i="1" s="1"/>
  <c r="U11" i="1"/>
  <c r="W11" i="1" s="1"/>
  <c r="V11" i="1"/>
  <c r="U10" i="1"/>
  <c r="V10" i="1"/>
  <c r="W10" i="1"/>
  <c r="O5" i="3"/>
  <c r="O4" i="3"/>
  <c r="O3" i="3"/>
  <c r="O2" i="3"/>
  <c r="AC26" i="1"/>
  <c r="AB26" i="1"/>
  <c r="AC25" i="1"/>
  <c r="AB25" i="1"/>
  <c r="AD25" i="1" s="1"/>
  <c r="AC21" i="1"/>
  <c r="AB21" i="1"/>
  <c r="AC20" i="1"/>
  <c r="AB20" i="1"/>
  <c r="AD20" i="1" s="1"/>
  <c r="AC16" i="1"/>
  <c r="AB16" i="1"/>
  <c r="AD16" i="1" s="1"/>
  <c r="AC15" i="1"/>
  <c r="AB15" i="1"/>
  <c r="AD15" i="1" s="1"/>
  <c r="AC11" i="1"/>
  <c r="AB11" i="1"/>
  <c r="AD11" i="1" s="1"/>
  <c r="AC10" i="1"/>
  <c r="AB10" i="1"/>
  <c r="AD10" i="1" s="1"/>
  <c r="V26" i="1"/>
  <c r="U26" i="1"/>
  <c r="W26" i="1" s="1"/>
  <c r="V25" i="1"/>
  <c r="U25" i="1"/>
  <c r="W25" i="1" s="1"/>
  <c r="V21" i="1"/>
  <c r="U21" i="1"/>
  <c r="W21" i="1" s="1"/>
  <c r="V20" i="1"/>
  <c r="U20" i="1"/>
  <c r="W20" i="1" s="1"/>
  <c r="V16" i="1"/>
  <c r="U16" i="1"/>
  <c r="W16" i="1" s="1"/>
  <c r="V15" i="1"/>
  <c r="U15" i="1"/>
  <c r="W15" i="1" s="1"/>
  <c r="O26" i="1"/>
  <c r="O25" i="1"/>
  <c r="O21" i="1"/>
  <c r="O20" i="1"/>
  <c r="O16" i="1"/>
  <c r="O15" i="1"/>
  <c r="O11" i="1"/>
  <c r="O10" i="1"/>
  <c r="N11" i="1"/>
  <c r="N15" i="1"/>
  <c r="P15" i="1" s="1"/>
  <c r="N16" i="1"/>
  <c r="N20" i="1"/>
  <c r="P20" i="1" s="1"/>
  <c r="N21" i="1"/>
  <c r="N25" i="1"/>
  <c r="P25" i="1" s="1"/>
  <c r="N26" i="1"/>
  <c r="P26" i="1" s="1"/>
  <c r="N10" i="1"/>
  <c r="G20" i="1"/>
  <c r="G21" i="1"/>
  <c r="G25" i="1"/>
  <c r="G26" i="1"/>
  <c r="H15" i="1"/>
  <c r="H16" i="1"/>
  <c r="H20" i="1"/>
  <c r="H21" i="1"/>
  <c r="H25" i="1"/>
  <c r="H26" i="1"/>
  <c r="G15" i="1"/>
  <c r="G16" i="1"/>
  <c r="H11" i="1"/>
  <c r="H10" i="1"/>
  <c r="G11" i="1"/>
  <c r="I11" i="1" s="1"/>
  <c r="G10" i="1"/>
  <c r="I39" i="4" l="1"/>
  <c r="I18" i="4"/>
  <c r="I26" i="4"/>
  <c r="I42" i="4"/>
  <c r="I29" i="4"/>
  <c r="I41" i="4"/>
  <c r="I15" i="4"/>
  <c r="I37" i="4"/>
  <c r="I16" i="4"/>
  <c r="I24" i="4"/>
  <c r="I50" i="14"/>
  <c r="I46" i="14"/>
  <c r="I38" i="14"/>
  <c r="I37" i="14"/>
  <c r="I36" i="14"/>
  <c r="I34" i="14"/>
  <c r="I33" i="14"/>
  <c r="I32" i="14"/>
  <c r="I25" i="14"/>
  <c r="I23" i="14"/>
  <c r="I20" i="14"/>
  <c r="I10" i="14"/>
  <c r="I9" i="14"/>
  <c r="I8" i="14"/>
  <c r="I5" i="14"/>
  <c r="I9" i="8"/>
  <c r="I6" i="8"/>
  <c r="I5" i="8"/>
  <c r="I54" i="6"/>
  <c r="I52" i="6"/>
  <c r="I50" i="6"/>
  <c r="I49" i="6"/>
  <c r="I29" i="6"/>
  <c r="I37" i="6"/>
  <c r="I48" i="6"/>
  <c r="I47" i="6"/>
  <c r="I46" i="6"/>
  <c r="I45" i="6"/>
  <c r="I44" i="6"/>
  <c r="I42" i="6"/>
  <c r="I41" i="6"/>
  <c r="I39" i="6"/>
  <c r="I36" i="6"/>
  <c r="I35" i="6"/>
  <c r="I32" i="6"/>
  <c r="I21" i="6"/>
  <c r="I33" i="6"/>
  <c r="I22" i="6"/>
  <c r="I20" i="6"/>
  <c r="I19" i="6"/>
  <c r="I24" i="6"/>
  <c r="I25" i="6"/>
  <c r="I16" i="6"/>
  <c r="I14" i="6"/>
  <c r="I10" i="6"/>
  <c r="I17" i="6"/>
  <c r="I40" i="4"/>
  <c r="I43" i="4"/>
  <c r="I45" i="4"/>
  <c r="I60" i="4"/>
  <c r="I59" i="4"/>
  <c r="I58" i="4"/>
  <c r="I57" i="4"/>
  <c r="I56" i="4"/>
  <c r="I55" i="4"/>
  <c r="I53" i="4"/>
  <c r="I52" i="4"/>
  <c r="I51" i="4"/>
  <c r="AD26" i="1"/>
  <c r="AD21" i="1"/>
  <c r="P16" i="1"/>
  <c r="P21" i="1"/>
  <c r="I21" i="1"/>
  <c r="P11" i="1"/>
  <c r="I10" i="1"/>
  <c r="P10" i="1"/>
  <c r="I26" i="1"/>
  <c r="I25" i="1"/>
  <c r="I16" i="1"/>
  <c r="I15" i="1"/>
  <c r="I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37B344-0054-4CEA-B315-1D553D47A801}" keepAlive="1" name="Consulta - G-eval_summary" description="Ligação à consulta 'G-eval_summary' no livro." type="5" refreshedVersion="0" background="1">
    <dbPr connection="Provider=Microsoft.Mashup.OleDb.1;Data Source=$Workbook$;Location=G-eval_summary;Extended Properties=&quot;&quot;" command="SELECT * FROM [G-eval_summary]"/>
  </connection>
  <connection id="2" xr16:uid="{0B0E2689-E2CA-48A8-BB46-2F0FDAFB1C40}" keepAlive="1" name="Consulta - G-eval_summary (2)" description="Ligação à consulta 'G-eval_summary (2)' no livro." type="5" refreshedVersion="0" background="1">
    <dbPr connection="Provider=Microsoft.Mashup.OleDb.1;Data Source=$Workbook$;Location=&quot;G-eval_summary (2)&quot;;Extended Properties=&quot;&quot;" command="SELECT * FROM [G-eval_summary (2)]"/>
  </connection>
  <connection id="3" xr16:uid="{55834E84-9CCF-435A-A868-02DFEF6E4242}" keepAlive="1" name="Consulta - G-eval_summary__comma_decimals_" description="Ligação à consulta 'G-eval_summary__comma_decimals_' no livro." type="5" refreshedVersion="8" background="1" saveData="1">
    <dbPr connection="Provider=Microsoft.Mashup.OleDb.1;Data Source=$Workbook$;Location=G-eval_summary__comma_decimals_;Extended Properties=&quot;&quot;" command="SELECT * FROM [G-eval_summary__comma_decimals_]"/>
  </connection>
  <connection id="4" xr16:uid="{C5A14C09-78B9-47AD-82D7-F913AFAD90CB}" keepAlive="1" name="Consulta - G-eval_summary_with_comma_decimals" description="Ligação à consulta 'G-eval_summary_with_comma_decimals' no livro." type="5" refreshedVersion="8" background="1" saveData="1">
    <dbPr connection="Provider=Microsoft.Mashup.OleDb.1;Data Source=$Workbook$;Location=G-eval_summary_with_comma_decimals;Extended Properties=&quot;&quot;" command="SELECT * FROM [G-eval_summary_with_comma_decimals]"/>
  </connection>
</connections>
</file>

<file path=xl/sharedStrings.xml><?xml version="1.0" encoding="utf-8"?>
<sst xmlns="http://schemas.openxmlformats.org/spreadsheetml/2006/main" count="1115" uniqueCount="248">
  <si>
    <t>True Positives</t>
  </si>
  <si>
    <t>False Positives</t>
  </si>
  <si>
    <t>Benchmark = Generated</t>
  </si>
  <si>
    <t>Generated - Benchmark</t>
  </si>
  <si>
    <t xml:space="preserve">False Negatives  </t>
  </si>
  <si>
    <t xml:space="preserve">True Negatives </t>
  </si>
  <si>
    <t>Benchmark - Generated</t>
  </si>
  <si>
    <t>Classes</t>
  </si>
  <si>
    <t>Relationships</t>
  </si>
  <si>
    <t>Attributes</t>
  </si>
  <si>
    <t>Methods</t>
  </si>
  <si>
    <t>Claude</t>
  </si>
  <si>
    <t xml:space="preserve">False Positives </t>
  </si>
  <si>
    <t>Zero-shot</t>
  </si>
  <si>
    <t xml:space="preserve">Few-shot </t>
  </si>
  <si>
    <t>Deepsheek</t>
  </si>
  <si>
    <t>Few-shot</t>
  </si>
  <si>
    <t>ChatGPT</t>
  </si>
  <si>
    <t>Gemini</t>
  </si>
  <si>
    <t>Precision</t>
  </si>
  <si>
    <t>Recall</t>
  </si>
  <si>
    <t>F1-Score</t>
  </si>
  <si>
    <t>F1-score</t>
  </si>
  <si>
    <t>Validity Score</t>
  </si>
  <si>
    <t>Completeness score</t>
  </si>
  <si>
    <t>Semantic score</t>
  </si>
  <si>
    <t>Pragmatic score</t>
  </si>
  <si>
    <t>Uml quality score</t>
  </si>
  <si>
    <t>UML_completeness_score</t>
  </si>
  <si>
    <t>Requirement_coverage_score</t>
  </si>
  <si>
    <t>Pragmatic_clarity_score</t>
  </si>
  <si>
    <t>LLM score</t>
  </si>
  <si>
    <t>Deepshek</t>
  </si>
  <si>
    <t>Gronk</t>
  </si>
  <si>
    <t>Model</t>
  </si>
  <si>
    <t>Element</t>
  </si>
  <si>
    <t>TP</t>
  </si>
  <si>
    <t>FP</t>
  </si>
  <si>
    <t>FN</t>
  </si>
  <si>
    <t>Notebook LM</t>
  </si>
  <si>
    <t>Technique</t>
  </si>
  <si>
    <t>RAG</t>
  </si>
  <si>
    <t>*   **Validity Score (0.8):**
    *   The diagram accurately represents most domain concepts, including classes, attributes, operations, and relationships.
    *   However, some cardinality specifications are incorrect or ambiguous (e.g., "1" o-- "1" Team: executes).
    *   Some operation names could be more accurate and descriptive.
*   **Completeness Score (0.7):**
    *   The diagram includes most necessary classes, attributes, operations, and relationships for the domain.
    *   However, some classes and associations are missing or incomplete (e.g., Team class lacks an association with Project).
    *   Some attributes and operations could be added to improve completeness.
**Issues:**
1.  Incorrect cardinality specification on 'leads' relationship between Manager and Project:
    *   The diagram specifies a binary relationship, but it should be a unidirectional association since one Manager can lead multiple Projects.
2.  Attributes are incorrectly named as operations in several classes (e.g., Project, Team, System):
    *   These attributes should have more accurate names to reflect their purpose and meaning</t>
  </si>
  <si>
    <t>Syntactic score</t>
  </si>
  <si>
    <t xml:space="preserve">    "Incorrect cardinality/multiplicity specifications for relationships between Project, Requirements, and System classes",
    "Use of aggregation where a simple association is required for the 'has input' and 'produces output' relationships",
    "Attributes placed in the wrong class (percentComplete in WorkProduct instead of being an attribute of a more specific subclass)",
    "Operations defined where they cannot be realized with existing data (executeProject() in Team, leadProject() in ProjectManager without clear connection to attributes or other classes)",
    "Operations that cannot be implemented using the current attributes/relationships (initiate(), terminate() in Project, validateAgainstRequirements() in System and validateWithUsers() in Requirements without clear connection to attributes)"</t>
  </si>
  <si>
    <t xml:space="preserve">    "The abstract class WorkProduct has a validate() method, but it's not clear what validation logic applies to all work products.",
    "The Relationships section has implicit relationships (..&gt; and ..&gt;) which can make the diagram harder to read."
Here are some key observations:
* The abstract class WorkProduct has a validate() method, which suggests that all work products have common validation logic. However, it's not clear what this validation entails or whether it should be overridden in subclasses.
* The Relationships section uses implicit relationships (..&gt; and ..&lt;), which can make the diagram harder to read. It would be clearer to use explicit associations with arrows.
* Some attribute names are unclear or inconsistent across classes. For example, "description" is used in WorkProduct but not System, while "media" is used in Requirements without a clear type</t>
  </si>
  <si>
    <t>":["Missing association between System and WorkProduct for validation",
              "Inconsistent naming conventions (e.g., 'percentComplete' vs. 'PercentComplete')",
              "Weak abstraction in the Project class, as it has multiple responsibilities"],
    "recommendations": ["Add an association between System and WorkProduct to represent the validation relationship.",
                        "Establish consistent naming conventions throughout the diagram.",
                        "Consider applying the Single Responsibility Principle (SRP) to the Project class."</t>
  </si>
  <si>
    <t xml:space="preserve">Zero-shot </t>
  </si>
  <si>
    <t>1. **Validity Score (0.8)**:
        * The abstract class `WorkProduct` and its subclasses (`Requirement`, `System`) accurately represent the domain concepts.
        * Attributes and operations are correctly placed within their respective classes.
        * Relationships between classes, such as aggregation (e.g., `ProjectManager "1" --&gt; "1..*" Team : leads`) and associations (e.g., `WorkProduct &lt;|-- Requirement`), reflect the domain logic.
        However, some cardinality specifications may be incorrect or unclear (e.g., `ProjectManager "1" --&gt; "1..*" Project : manages`).
2. **Completeness Score (0.9)**:
        * Most necessary classes and relationships are present in the diagram.
        * Key domain concepts, such as validation dependencies between classes, are captured through the use of the `&lt;&lt;depends&gt;&gt;` stereotype.
        However, some attributes (e.g., `phoneNumber` in class `Manager`) or operations (e.g., `validate()` in class `WorkProduct`) may be missing or unnecessary.      
**Issues and Recommendations**
1. **Incorrect cardinality specification**: Review associations between classes to ensure accurate representation of the domain logic.
2. **Attribute specification**: Verify attribute types and update as necessary to accurately reflect the domain concepts.
3. **Operation implementation**: Update operations to ensure they can be implemented using existing attributes and relationships.</t>
  </si>
  <si>
    <t xml:space="preserve">    "Some classes have redundant attributes (e.g., WorkProduct has percentageCompleted which is not used elsewhere)",
    "Weak subclass distinction between Requirement and System, as they share similar methods",
    "Inconsistent styling: notes are used to explain the behavior of certain classes/methods, but this is not applied consistently throughout the diagram"</t>
  </si>
  <si>
    <t>**UML Completeness Score (0.8)**: The diagram covers most relevant classes, attributes, methods, and relationships, but misses some associations between User and Requirement, as well as the exact relationship between Platform and System.
**UML Quality Score (0.7)**: While the design principles are respected in general, there are inconsistencies in naming conventions (e.g., 'plataform' vs 'platform') and unclear or weak descriptions of attributes and methods.
**Requirement Coverage Score (0.9)**: The diagram faithfully implements most system requirements, but misses some details about user validation for Requirements and the deployment process for Systems.
**Pragmatic Clarity Score (0.85)**: The diagram is generally understandable and clear for technical stakeholders, but requires some effort to comprehend due to inconsistent naming conventions and weak attribute descriptions.</t>
  </si>
  <si>
    <t>*   **Validity Score (0.8):** The diagram accurately represents most domain concepts, but there are some minor inaccuracies in attribute types and relationships.       
*   **Completeness Score (0.9):** The diagram covers almost all necessary classes, attributes, operations, and relationships but is missing a few details, such as the 'phone_number' attribute in the 'Manager' class.
*   **Issues:**
    *   The 'startDate' and 'endDate' attributes in the 'Project' class are represented as strings instead of Date objects.
    *   The 'percentComplete' attribute in the 'WorkProduct' class has an invalid range (0.0 - 1.0).
    *   The 'validate()' operation in the 'WorkProduct' class is not implementable based on the current attributes and relationships.</t>
  </si>
  <si>
    <t xml:space="preserve">      "Inconsistent naming conventions (e.g., 'Project' vs 'projects', 'startDate' vs 'Start Date')",
    "Redundant attributes in some classes (e.g., 'Team' has no attributes except for 'name')",
    "Weak subclass distinction between 'WorkProduct', 'System', and 'Requirement' (they all seem to have similar roles)",
    "Inconsistent styling (e.g., some classes have dashes before attribute names, while others do not)"</t>
  </si>
  <si>
    <t>*   **UML Completeness Score** (0.8/1): The class diagram is mostly complete, but it lacks some associations between entities. For example, there's no association between Project and Team.
*   **UML Quality Score** (0.7/1): While the design follows some basic principles, there are areas for improvement. Naming conventions are not consistently applied (e.g., 'startDate' vs. 'Start Date'). Additionally, the Validation class is not properly linked to other classes.
*   **Requirement Coverage Score** (0.9/1): The class diagram captures most of the system requirements, but it's missing a few details. For instance, there's no clear representation of how users validate requirements in workshops.
*   **Pragmatic Clarity Score** (0.6/1): Although the class diagram is somewhat understandable, it can be improved by reorganizing classes and associations to reduce clutter and improve readability.
The issues section highlights specific concerns that need attention:
*   Missing association between Project and Team
*   Naming inconsistency (e.g., 'startDate' vs. 'Start Date')
*   Validation class is not properly linked to WorkProduct, System, or Requirement</t>
  </si>
  <si>
    <t>**Validity Score:** I scored it at 0.7 because most of the classes, attributes, operations, and relationships in the PlantUML diagram accurately represent the domain concepts. However, there are some semantic errors that detract from its validity.
- **Completeness Score:** It's at 0.8 because while there might be minor omissions (like not every operation being necessary), the essential components of a project management system are present.
**Semantic Errors and Recommendations:**
1.  **Incorrect Cardinality Specification**: In the PlantUML diagram, the relationship between `Manager` and `Project` is incorrectly specified as "1"--&gt; "1". It should be "1..*" since one manager can lead multiple projects.
2.  **Attributes vs Operations**: Attributes like `initiateProject()` and `terminateProject()` in the `Project` class are actually operations, not attributes. In the benchmark diagram, these were correctly represented as methods.
3.  **Operation Implementation**: The operation `executeProject()` in the `Team` class cannot be implemented with existing data (attributes), which is a semantic error. This operation should be reconsidered or moved to an interface where it can be fulfilled by any team member.
4.  **Relationships Aggregation vs Association**: Relationships between `WorkProduct` and `System`, `Requirement` and `WorkProduct` are specified as aggregation but could have been simple associations based on the context provided. It's worth reconsidering these relationships to accurately reflect the domain concepts.
5.  **Operation Validity**: The operation `validateWithUsers()` in the `Requirement` class is defined but requires additional context (like a workshop) to determine its validity, which makes it uncertain without further specification.
**Recommendations:**
-   Use '1..*' instead of '1' for relationships where one end has multiple instances.
-   Move operations from classes to separate operation classes for clarity and correctness.
-   Ensure cardinality specifications match the domain's expectations.
-   Consider using associations or composition relationships over aggregation for better accuracy.</t>
  </si>
  <si>
    <t xml:space="preserve">    "The 'startDate' and 'endDate' attributes in the 'Project' class are not consistently named with PascalCase (should be 'start_date' and 'end_date').",
    "The 'percentageCompleted' attribute in the 'WorkProduct' class is an integer, but it would be more suitable as a float to allow for decimal completion percentages.",
    "The relationships between classes could be clarified by adding explicit labels or comments to describe their intent."</t>
  </si>
  <si>
    <t>*   **UML Completeness Score (0.8)**: The class diagram is mostly complete, with all relevant elements present. However, some attributes are missing from certain classes.
*   **UML Quality Score (0.7)**: While the design principles are generally respected, there are some issues with naming conventions and validation.
*   **Requirement Coverage Score (0.9)**: The class diagram effectively implements most system requirements, but some aspects like System deployment onto specific platforms need further attention.
*   **Pragmatic Clarity Score (0.6)**: The diagram is somewhat understandable for technical stakeholders, but there are areas that could be improved to make it clearer and more pragmatic.</t>
  </si>
  <si>
    <t xml:space="preserve">    "Attributes and methods are not consistently named, following the PascalCase convention.",
    "Inheritance is used instead of composition for some relationships (e.g., WorkProduct to System).",
    "Association roles could be more descriptive and follow a consistent naming scheme (e.g., 'has_input' could be 'requires').",
    "The use of generic terms like 'type' in MediaType could be more specific.",
    "There are no clear distinctions between classes that only have attributes or methods, which may make it harder to understand their roles."</t>
  </si>
  <si>
    <t>1. **UML Completeness Score (0.85)**: The generated UML model covers most aspects of the system description, but some relationships between classes are missing. The score reflects this completeness.
2. **UML Quality Score (0.9)**: The design principles and naming conventions used in the diagram are generally good, with some minor inconsistencies in naming. The score acknowledges these strengths.
3. **Requirement Coverage Score (0.75)**: While the generated UML model captures many system requirements, it doesn't fully represent all aspects of the project management process. For example, the team's execution and validation processes are not explicitly modeled.
4. **Pragmatic Clarity Score (0.8)**: The diagram is understandable for technical stakeholders, but some class names and relationships could be clarified for easier comprehension.
5. **Overall Score (0.82)**: This score represents a weighted average of the previous four scores.
**Issues**:
* Missing association between ProjectManager and Team to reflect the lead role.
* Naming inconsistency: 'platfrom' vs 'Platform'.
* Weak abstraction: WorkProduct class has multiple subclasses with similar attributes.</t>
  </si>
  <si>
    <t xml:space="preserve">RAG </t>
  </si>
  <si>
    <t xml:space="preserve">    "Incorrect cardinality specification on the relationship between Project and Requirement (should be a many-to-many instead of one-to-many)",
    "Missing Operation in WorkProduct class to support percentageCompleted attribute",
    "Aggregation where a simple association is required between System and Requirement"</t>
  </si>
  <si>
    <t xml:space="preserve">    "The class diagram has inconsistent naming conventions (e.g., 'description' vs. 'Description').",
    "Some classes have attributes that seem redundant or unnecessary (e.g., 'percentageCompleted' in 'WorkProduct').",
    "There is a lack of clear distinction between subclasses ('Requirement', 'System', and 'Project') and their parent class ('WorkProduct').",
    "The relationships between classes are not consistently represented using the inheritance operator (&lt;|--)."</t>
  </si>
  <si>
    <t>The 'ProjectManager' and 'Team' classes are not properly integrated with the rest of the system.",
    "Some attributes and methods in the 'WorkProduct', 'System', and 'Requirement' classes seem to be missing or incorrectly named.",
    "There is no clear relationship between the 'Media' and 'Platform' classes."</t>
  </si>
  <si>
    <t>Errors Semantic</t>
  </si>
  <si>
    <t>Errors Pragmatic</t>
  </si>
  <si>
    <t>Errors llm as judge</t>
  </si>
  <si>
    <t>Rouge</t>
  </si>
  <si>
    <t>Issues:
1. Incorrect cardinality in the relationship between Project and Team. The arrowheads indicate a 1-to-many relationship, but the relationship should be 1-to-1 since each project has only one team.
2. Use of aggregation where a simple association is required. For example, the relationship between WorkProduct and Requirement is modeled as an aggregation, but it could be modeled as a simple association instead.
3. Attributes placed in the wrong class. For example, the "Description" attribute should be placed in the WorkProduct class instead of the System class.
4. Operations defined where they cannot be realized with existing data. For example, the "validate" operation in the Requirement class cannot be implemented since there is no input data to validate.
5. Operations that cannot be implemented using the current attributes/relationships. For example, the "Deploy" operation in the System class cannot be implemented since there is no "deploymentPlatforms" attribute to specify where the system should be deployed.</t>
  </si>
  <si>
    <t>1. Redundant attributes: The "startDate" and "endDate" attributes in the "Project" class are redundant, as the end date can be inferred from the start date.
2. Weak subclass distinction: The "Team" class does not clearly distinguish itself from the "Project" class, making it difficult to understand their differences.
3. Inconsistent styling: The "Requirements" class has a different naming convention than the other classes, which can make it stand out and detract from the overall clarity of the diag</t>
  </si>
  <si>
    <t>UML Completeness Score: 0.85/1.0
The generated class diagram has all relevant elements present, such as classes, attributes, methods, and relationships. However, there are some minor inconsistencies in naming conventions and capitalization, which could be improved. For instance, the "workCompletedPercentage" attribute should be consistently named "PercentComplete" throughout the diagram.
UML Quality Score: 0.9/1.0
The class diagram adheres to design principles and best practices, with coherent and correctly applied names, types, and relationships. However, there is a potential issue with abstraction, as the "System" class has both abstract and concrete attributes and methods, which could be refactored for better clarity and maintainability.
Requirement Coverage Score: 0.95/1.0
The class diagram faithfully implements the described system requirements, with clear relationships between classes and well-defined responsibilities. However, there is a minor issue with the "WorkProduct" class, which should have a more specific name to better reflect its purpose.
Pragmatic Clarity Score: 0.9/1.0
The class diagram is understandable and clear for technical stakeholders, with well-organized classes and relationships. However, there is room for improvement in terms of brief descriptions or comments for the classes and methods to provide additional context and clarity.</t>
  </si>
  <si>
    <t>"Incorrect cardinality specified for 'ProjectManager' class (1..*)",
"Use of aggregation where a simple association is required ('Team' class)",
"Attributes placed in the wrong class ('WorkProduct' class)",
"Operations defined where they cannot be realized with existing data ('validate()' method in 'Requirements' and 'System' classes)",
"Operations that cannot be implemented using the current attributes/relationships"</t>
  </si>
  <si>
    <t>Redundant attributes in WorkProduct (Description, CompletionPercentage), consider combining them into a single attribute", "Weak subclass distinction in System and Requirement, consider adding more specific characteristics to distinguish them"</t>
  </si>
  <si>
    <t>1. **UML Completeness**:
The class diagram contains all the relevant elements, such as classes, attributes, methods, and relationships. However, there are some issues:
	* The `WorkProduct` class has no attributes or methods defined.
	* The `Validation` class is an abstract class but does not have any concrete implementations.
	* The `ProjectManager` class has a method called `initiateProject()` but no corresponding implementation.
	* The `Team` class has a method called `executeProject()` but no corresponding implementation.
UML Completeness Score: 0.8 (out of 1.0)
2. **UML Quality**:
The class diagram appears to have good UML quality, with coherent naming and appropriate usage of UML elements. However, there are some minor issues:
	* The `Project` class has a attribute called `status` but no corresponding getter or setter methods.
	* The `System` class has a attribute called `platform` but no corresponding getter or setter methods.
UML Quality Score: 0.9 (out of 1.0)
3. **Requirement Coverage**:
The class diagram appears to faithfully implement the described system requirements. However, there are some minor issues:
	* The `WorkProduct` class does not have any attributes or methods defined, which may not fully cover the requirement of having a work product with a description and a percentage of completion.
	* The `System` class does not have any attributes or methods defined, which may not fully cover the requirement of having a system with a platform and a deploy method.
Requirement Coverage Score: 0.8 (out of 1.0)
4. **Clarity &amp; Pragmatics**:
The class diagram is understandable and clear for technical stakeholders, but there are some minor issues:
	* The `WorkProduct` class has no attributes or methods defined, which may make it difficult to understand its purpose and behavior.
	* The `System` class has no attributes or methods defined, which may make it difficult to understand its purpose and behavior.
Clarity &amp; Pragmatics Score: 0.9 (out of 1.0)
Overall Score: 0.85 (out of 1.0)
Issues:
* Missing associations between `Project` and `Team`, `Requirements` and `System`.
* Naming inconsistency in the `Project` class (e.g., `startDate` vs `endDate`).
* Weak abstraction in the `Validation` class.</t>
  </si>
  <si>
    <t>"Incorrect cardinality specification for 'ProjectManager' association with 'Project' (should be '1..*')",
"Missing multiplicity specification for 'WorkProduct' association with 'Requirements' and 'System'",
"Use of aggregation where a simple association is required for 'Team' with 'Project'",
"Operations defined where they cannot be realized with existing data (e.g., 'validate' on 'WorkProduct')",
"Operations that cannot be implemented using the current attributes/relationships (e.g., 'executeProject' on 'Team')"</t>
  </si>
  <si>
    <t>1. Redundant attributes: The WorkProduct class has two attributes that describe the same information (PercentComplete and CompletionPercentage). It would be better to remove one of them or combine them into a single attribute.
2. Weak subclass distinction: The Team class does not clearly differentiate itself from the Project class, as they share some common attributes (Description, StartDate, EndDate). Consider adding more distinct attributes or behaviors to the Team class.
3. Inconsistent styling: Some classes have a leading underscore (_) before their names, while others do not. It would be better to consistently use either leading underscores or not for all classes.</t>
  </si>
  <si>
    <t>Here is the evaluation of the given UML class diagram based on the four dimensions you specified:
1. **UML Completeness**: The class diagram contains all relevant elements, including classes, attributes, methods, and relationships. However, there are some minor issues:
	* The `WorkProduct` class has a `PercentComplete` attribute instead of a `CompletionPercentage` attribute, which is more appropriate for a work product.
	* The `System` class has a `Plataform` attribute, but it should be spelled as "platform".
	* There are no associations between the `Requirement` and `WorkProduct` classes, even though there is a dependency between them.
2. **UML Quality**: The diagram appears to be well-designed and coherent, with clear naming and consistent typing. However, there are some minor issues:
	* The `Manager` class has an unnecessary `PhoneNumber` attribute.
	* The `Team` class has no attributes or methods, which makes it a somewhat useless class.
3. **Requirement Coverage**: The class diagram appears to faithfully implement the described system requirements. However, there are some minor issues:
	* The `WorkProduct` class does not have an association with the `System` class, even though there is a dependency between them.
	* The `System` class does not have an association with the `Requirement` class, which would be more appropriate for a system to have.
4. **Clarity &amp; Pragmatics**: The diagram is understandable and clear for technical stakeholders, but there are some minor issues:
	* The `Manager` class has an unnecessarily long name.
	* The `Team` class has no descriptive name or attributes, which makes it difficult to understand its purpose.
Overall, the UML class diagram is of good quality and covers the system requirements well. However, there are some minor issues that could be improved to make the diagram more complete, coherent, and clear:</t>
  </si>
  <si>
    <t>"Incorrect cardinality in Project.endDate",
"Use of aggregation where a simple association is required in Manager.leads"</t>
  </si>
  <si>
    <t xml:space="preserve">
* The class diagram does not follow a consistent naming convention. For example, "WorkProduct" is camelCase while "Requirement" and "System" are PascalCase. This inconsistency can make the diagram harder to understand for stakeholders who are familiar with different naming conventions.
* Some classes have redundant attributes, such as "description" in both "WorkProduct" and "Requirement". Removing these redundancies can simplify the diagram and improve clarity.
* The relationships between classes are not always clear. For example, the relationship between "Project" and "Manager" is not explicitly stated, making it difficult to understand how the two classes are related.
* There are inconsistencies in the use of inheritance and composition. For example, "Requirement" is a subclass of "WorkProduct", but there is no clear indication of this relationship in the class diagram. Additionally, "System" has a composition relationship with "Requirement", but this is not explicitly shown in the diagram.</t>
  </si>
  <si>
    <t>1. **UML Completeness**:
The class diagram has all relevant elements present, including classes, attributes, methods, and relationships. However, there are some potential issues with the diagram's completeness:
* The "Project" class does not have a "Description" attribute, which is a common practice in UML class diagrams.
* The "Team" class has no attributes or operations defined, which may indicate that it is not a fully developed class.
* There are no associations between the "Manager" and "Team" classes, which could be useful to indicate the relationship between the two classes.
2. **UML Quality**:
The diagram appears to have been created with proper naming conventions and coherent design principles. However, there are a few potential issues with the diagram's quality:
* The "Project" class has a startDate and endDate attribute, but no evidence of how these dates are used or what their purpose is.
* The "Requirement" class has an invalid mediaType attribute (should be a string) and no validation method specified.
3. **Requirement Coverage**:
The class diagram seems to faithfully implement the described system requirements, with classes and relationships representing the main concepts and relationships in the system. However, there are some potential issues with the requirement coverage:
* The "System" class does not have any attributes or operations defined, which may indicate that it is not a fully developed class.
* There is no evidence of how the requirements are published or validated, which could be useful information to include in the diagram.
4. **Clarity &amp; Pragmatics**:
The class diagram appears to be clear and understandable for technical stakeholders, with well-defined classes and relationships. However, there are some potential issues with the clarity and pragmatics:
* The "Team" class has no attributes or operations defined, which may make it difficult to understand its purpose and usage.
* There is no evidence of how the work products are validated or what validation methods are used, which could be useful information to include in the diagram.</t>
  </si>
  <si>
    <t>**Accuracy (Validity) Score:** 0.85
The PlantUML class diagram accurately reflects the domain concepts, with a few minor issues and suggestions for improvement. Here are some observations:
1. Correct cardinality and multiplicity specifications: The diagram uses correct cardinality and multiplicity specifications for most associations, such as the "leads" association between ProjectManager and Project. However, there is an issue with the "executes" association between Team and Project, which should have a multiplicity of 0..* (zero or more) instead of * (one or more).
2. Use of aggregation vs. association: The diagram uses aggregation where it should be using association. For example, the "input" association between Requirement and Project should be an association rather than an aggregation.
3. Attributes placed in the wrong class: There is a minor issue with the placement of attributes. For example, the "PercentComplete" attribute should be placed on the WorkProduct class instead of the Requirement class.
4. Operations defined where they cannot be realized with existing data: The diagram defines an operation ("validate") on the WorkProduct class, but it is not clear how this operation can be realized given the current attributes and relationships in the diagram.
5. Operations that cannot be implemented using the current attributes/relationships: There is a suggestion for improvement regarding the "Deploy" operation on the System class. It is not clear how this operation can be implemented given the current attributes and relationships in the diagram.
**Completeness Score:** 0.75
The PlantUML class diagram is mostly complete, but there are a few missing elements and relationships that should be included to ensure completeness. Here are some observations:
1. Missing classes or relationships: The diagram is missing the following classes or relationships:
	* A class for the workshop where the requirements are validated.
	* A relationship between the ProjectManager and Team classes to indicate that the ProjectManager leads the team.
	* A relationship between the Requirement and System classes to indicate that the System tests the Requirement.
2. Incorrect cardinality or multiplicity specifications: As mentioned earlier, there is an issue with the "executes" association between Team and Project, which should have a multiplicity of 0..* instead of *.
3. Incomplete attribute definitions: Some attributes are not fully defined, such as the "Description" attribute on the WorkProduct class.
4. Inconsistent naming conventions: The diagram uses inconsistent naming conventions for class and attribute names. For example, some class names are capitalized, while others are not.
**Issues:**
1. Incorrect cardinality or multiplicity specifications in the "executes" association between Team and Project.
2. Use of aggregation where it should be using association (e.g., the "input" association between Requirement and Project).
3. Attributes placed in the wrong class (e.g., the "PercentComplete" attribute on the Requirement class instead of the WorkProduct class).
4. Operations defined where they cannot be realized with existing data (e.g., the "validate" operation on the WorkProduct class).
5. Incomplete or inconsistent attribute definitions.
6. Missing classes or relationships (e.g., a class for the workshop where the requirements are validated, and a relationship between the ProjectManager and Team classes to indicate that the ProjectManager leads the team).</t>
  </si>
  <si>
    <t>Issues:
* Redundant attributes: The "startDate" and "endDate" attributes in the "Project" class are redundant, as the start and end dates can be inferred from the "Name" attribute.
* Weak subclass distinction: The "Team" class does not clearly distinguish itself from the "WorkProduct" class, making it difficult to understand their differences.
* Inconsistent styling: The "ProjectManager" class has a different naming convention than the other classes (e.g., "Leads" instead of "Manages").</t>
  </si>
  <si>
    <t>CoT</t>
  </si>
  <si>
    <t xml:space="preserve">CoT </t>
  </si>
  <si>
    <t>"Incorrect cardinality on 'ProjectManagementSystem'('manages')",
"Missing multiplicity specification on 'ProjectManagementSystem'('uses')",
"Aggregation where a simple association is required ('WorkProduct'('input'))",
"Attributes placed in the wrong class ('Project'('startDate', 'endDate'))",
"Operations defined where they cannot be realized with existing data ('System'('testAgainst'))",
"Operations that cannot be implemented using the current attributes/relationships ('Requirement'('validate'), 'System'('deploy'))"
The validity score of 0.85 indicates that most elements and relationships accurately reflect the domain, but there are a few issues with cardinality and multiplicity specifications. The completeness score of 0.75 suggests that some necessary elements and relationships are missing, such as a clear indication of how the work products are created and what their lifecycle is.
The list of issues includes various semantic errors found in the diagram, such as incorrect cardinality or multiplicity specifications, aggregation where a simple association is required, attributes placed in the wrong class, and operations defined where they cannot be realized with existing data. The recommendations provide suggestions for improving the accuracy and completeness of the diagram, such as adding missing multiplicity specifications, replacing aggregation with simple associations, moving attributes to the correct class, implementing missing operations, and adding new operations as needed.</t>
  </si>
  <si>
    <t>1. Redundant attributes: The classes ProjectManagementSystem and Team have redundant attributes (startDate and endDate, respectively). These attributes can be removed, and the appropriate stereotypes (e.g., Date) can be used instead.
2. Inconsistent styling: Some classes (Project, Requirement, System) have inconsistent styling, with some classes having empty brackets () and others having no brackets. It's important to maintain consistent styling throughout the class diagram.
To improve the clarity of the class diagram, I recommend the following actions:
1. Remove redundant attributes and use appropriate stereotypes.
2. Consistently style all classes (e.g., use empty brackets () for all classes).
3. Consider adding more descriptive names to the classes and attributes to improve understandability.</t>
  </si>
  <si>
    <t>1. **UML Completeness**: The class diagram appears to be comprehensive, covering all relevant elements such as classes, attributes, methods, and relationships. However, there are some minor issues that I'll address later. Based on the provided PlantUML code, I would give this dimension a score of 0.95 out of 1.0.
2. **UML Quality**: The class diagram exhibits good design principles such as cohesion, encapsulation, and abstraction. However, there are some naming inconsistencies (e.g., "PercentComplete" vs. "percentComplete"), which could be improved. Additionally, some class attributes could benefit from more descriptive names. Overall, I would give this dimension a score of 0.85 out of 1.0.
3. **Requirement Coverage**: The class diagram seems to faithfully implement the described system requirements. All work products (requirements and systems) are accounted for, and their relationships are properly defined. However, there is no explicit representation of user involvement in validating requirements, which could be added. Based on the provided description, I would give this dimension a score of 0.9 out of 1.0.
4. **Clarity &amp; Pragmatics**: The class diagram is well-organized and easy to understand for technical stakeholders. However, some class names could be more descriptive, and the relationships between classes could be further clarified. Additionally, there is no explicit representation of the project management domain, which could be added to improve pragmatic clarity. Overall, I would give this dimension a score of 0.8 out of 1.0.
Now, let me address some minor issues and provide recommendations for improvement:
* Missing associations:
	+ The relationship between "Team" and "Project" is not explicitly defined.
	+ There is no association between "WorkProduct" and "Media" or "Platform".
	+ The relationship between "System" and "Requirement" is not properly defined (e.g., there is no "tested against" association).
* Naming inconsistencies:
	+ "PercentComplete" vs. "percentComplete"
	+ "Plataform" vs. "platformName"
* Weak abstraction:
	+ The "validate()" method in "WorkProduct" is too specific and could be abstracted into a more general "validate()" method in "AbstractWorkProduct".
* Other suggestions:
	+ Add explicit representation of user involvement in validating requirements.
	+ Clarify the relationships between classes (e.g., "WorkProduct" vs. "System", "Requirement" vs. "Project").
	+ Consider adding a "ProjectManagementDomain" class to improve pragmatic clarity.</t>
  </si>
  <si>
    <t>Here's a breakdown of the scores and issues:
* Validity score: 0.85 (out of 1.0) indicates that most elements and relationships accurately reflect the domain, but there are some minor issues.
* Completeness score: 0.65 (out of 1.0) suggests that some essential elements or relationships are missing or omitted.
* Issues: One issue is identified - the 'Project' class lacks a 'status' attribute, which is a common field in project management systems.
* Recommendations: One recommendation is provided - adding a 'status' attribute to the 'Project' class to represent the current state of the project.
Note that these scores and issues are based on the PlantUML class diagram you provided, and may not reflect the actual state of your domain model or system.</t>
  </si>
  <si>
    <t>"Redundant attributes in WorkProduct class (PercentComplete, Description) that do not add any value to the class.",
"Weak subclass distinction between System and Requirement classes, as they have similar methods and attributes.",
"Inconsistent styling in the diagram, e.g., some classes have a space before the colon, while others do not."</t>
  </si>
  <si>
    <t>1. UML Completeness:
The class diagram is quite comprehensive, covering all the relevant aspects of the system, such as project management, team execution, and work product management. However, there are a few minor elements missing, such as inheritance relationships between WorkProduct and Requirements, and composition and aggregation relationships between ProjectManager and Team. These omissions result in an UML completeness score of around 0.85 (out of 1).
2. UML Quality:
The class diagram exhibits good design principles, such as cohesive classes, meaningful method names, and appropriate inheritance and composition relationships. However, there are a few naming inconsistencies, such as the use of both "startDate" and "start_date" in different classes, which could be improved upon. Additionally, some class and attribute names could be more descriptive to improve clarity. Overall, the UML quality score would be around 0.9 (out of 1).
3. Requirement Coverage:
The class diagram faithfully implements the described system requirements, with clear associations between classes and appropriate methods for each class. The requirement coverage score would be around 0.95 (out of 1).
4. Clarity &amp; Pragmatics:
The class diagram is well-structured and easy to understand for technical stakeholders familiar with UML. However, some class and attribute names could be more descriptive to improve clarity. Additionally, the diagram could benefit from a brief description of the system's purpose and functionality to provide better context for non-technical stakeholders. The clarity &amp; pragmatics score would be around 0.85 (out of 1).
Based on these assessments, I would rate the overall quality of the class diagram as follows:</t>
  </si>
  <si>
    <t>Validity Score: 0.85
-----------------------
The PlantUML diagram accurately reflects the domain concepts for the most part. However, there are a few minor issues that affect the validity score:
1. The `ProjectManager` class has a method named `leadTeam`, but it should be named `manageTeam` to align with the domain concept.
2. The `Requirements` class has a method named `publish`, but it should be named `validate` to align with the domain concept.
3. The `System` class has a method named `deploy`, but it should be named `test` to align with the domain concept.
Completeness Score: 0.75
------------------------
The PlantUML diagram is mostly complete, but there are a few missing elements and relationships that affect the completeness score:
1. There is no relationship between the `ProjectManager` class and the `Team` class, even though the domain concept suggests that a project manager should be able to lead a team.
2. The `Requirements` class does not have a relationship with the `System` class, even though the domain concept suggests that requirements should be input to the system.
3. There is no relationship between the `Manager` class and the `Team` class, even though the domain concept suggests that a manager should be able to manage a team.</t>
  </si>
  <si>
    <t>Pragmatic quality evaluation:
The class diagram has several issues that affect its understandability and clarity. Some of the problems are:
* Redundant attributes: The `name` attribute is repeated in multiple classes (e.g., `ProjectManager`, `Team`, and `WorkProduct`). This redundancy makes the diagram harder to read and understand.
* Weak subclass distinction: The relationship between `ProjectManager` and `Team` is not clearly defined. It would be better to make the relationship more specific, such as using a more descriptive verb or adding an additional attribute to the relationship.
* Inconsistent styling: Some of the class names are in camelCase (e.g., `WorkProduct`, `Requirements`), while others are in pascalCase (e.g., `ProjectManager`, `System`). It would be better to choose one convention and apply it consistently throughout the diagram.
To improve the clarity of the class diagram, I recommend the following:
* Use meaningful attribute names: Instead of using generic names like "name," use more descriptive names that clearly indicate the purpose of each attribute. For example, "projectName" or "teamName" would be more informative.
* Separate concerns with separate classes: Consider breaking up the class diagram into multiple diagrams to better separate concerns. For example, you could have one diagram for the project management functionality and another for the team management functionality. This would make the diagram easier to read and understand.
* Follow a consistent naming convention: Choose one naming convention (e.g., camelCase or pascalCase) and apply it consistently throughout the diagram. This will help create a more cohesive and understandable class diagram.</t>
  </si>
  <si>
    <t>Here is the evaluation of the given PlantUML class diagram based on the specified dimensions:
1. UML Completeness:
The class diagram contains all relevant elements, including classes, attributes, methods, and relationships. However, there are some minor issues:
* The "PercentComplete" attribute in the "WorkProduct" class should be a numerical value instead of a string.
* The "Description" attribute in the "WorkProduct" class is not descriptive enough. It should provide more information about the work product.
* The "validate" method in the "WorkProduct" class does not have a clear description, and it is not obvious what it does.
* The "deploy" method in the "System" class is not defined.
Overall, the class diagram is mostly complete, but there are some minor issues that need to be addressed.
2. UML Quality:
The class diagram exhibits good design principles. The classes and attributes have clear and descriptive names, and the relationships between them are well-defined. However, there are a few areas for improvement:
* The "PercentComplete" attribute should be a numerical value instead of a string to make it more coherent with the other attributes.
* The "Description" attribute in the "WorkProduct" class could provide more information about the work product to make it more useful.
* The "validate" method in the "WorkProduct" class should have a clear description to make it easier to understand its purpose.
Overall, the class diagram exhibits good UML quality, but there are some minor issues that need to be addressed.
3. Requirement Coverage:
The class diagram faithfully implements the described system requirements. All required classes and relationships are present, and they accurately reflect the input and output of the system. However, there is one minor issue:
* The "deploy" method in the "System" class is not defined, which may impact the requirement that the system should be deployable onto specific plataforms.
Overall, the class diagram provides good coverage of the system requirements.
4. Clarity &amp; Pragmatics:
The class diagram is understandable and clear for technical stakeholders. The classes and relationships are well-defined, and the attributes are descriptive. However, there is one area for improvement:
* The "validate" method in the "WorkProduct" class could provide more information about how it validates the work product to make it easier to understand its purpose.
Overall, the class diagram is clear and easy to understand for technical stakeholders, but there is one minor issue that needs to be addressed.
Issues:
* Missing deployment platform in the "System" class
* Naming inconsistency in the "PercentComplete" attribute
* Weak abstraction in the "WorkProduct" class
* Lack of clear description for the "validate" method in the "WorkProduct" class</t>
  </si>
  <si>
    <t>The validity score of 0.85 indicates that most of the elements and relationships in the diagram accurately reflect the domain concepts, but there are a few issues that need to be addressed. The completeness score of 0.75 suggests that some necessary elements or relationships may be missing. The issues list includes three specific errors:
1. Incorrect cardinality specified for 'Requirement' class.
2. Missing relationship between 'ProjectManagementSystem' and 'Project' classes.
3. Attributes not correctly placed in their respective classes.
The recommendations list provides suggestions for addressing these issues, such as correcting the cardinality of the 'Requirement' class, adding a relationship between 'ProjectManagementSystem' and 'Project' classes, and ensuring that all attributes are placed in the correct class and that there are no unnecessary attributes.</t>
  </si>
  <si>
    <t>"Redundant attributes: The 'percentComplete' attribute in the 'WorkProduct' class is redundant since it can be inferred from the 'description' attribute. (Issue ID: RED-1)",
"Weak subclass distinction: The 'System' and 'Requirement' classes are not clearly distinct, making it difficult to understand their roles and responsibilities. (Issue ID: WSD-2)",
"Inconsistent styling: The 'Team' class has a different style than the other classes, which can make it stand out and distract from the overall design. (Issue ID: INS-3)"],
"recommendations": [
"Simplify the attribute list for the 'WorkProduct' class by removing redundant attributes. (Recommendation ID: SIMP-1)",
"Strengthen the subclass distinction between 'System' and 'Requirement' by adding more specific responsibilities or behaviors to each class. (Recommendation ID: WSD-3)",
"Consistently apply styling conventions throughout the diagram to improve overall aesthetics and clarity. (Recommendation ID: INS-1)"</t>
  </si>
  <si>
    <t>Here is the evaluation of the provided PlantUML class diagram based on the given dimensions:
1. UML Completeness:
The diagram seems to be complete in terms of UML elements, as it contains classes, attributes, methods, and relationships. However, there are some minor issues:
	* The "startDate" and "endDate" attributes in the "Project" class should be of type "Time" instead of "String".
	* The " percentComplete" attribute in the "WorkProduct" class should be of type "Double" instead of "String".
	* There is no "validate" method defined for the "Requirement" class, which is a mandatory method.
	* The "publish" method in the "System" class is not defined.
UML Completeness Score: 0.85 (out of 1)
2. UML Quality:
The diagram exhibits good design principles and coherent naming conventions. However, there are some minor issues:
	* The "Team" class is abstract, but it does not contain any abstract methods.
	* The "WorkProduct" class has a "getDescription" method, but it is not declared as an abstract method.
	* The "validate" method in the "Requirement" class is not properly defined.
UML Quality Score: 0.90 (out of 1)
3. Requirement Coverage:
The diagram seems to faithfully implement the described system requirements. However, there are some minor issues:
	* The "startDate" and "endDate" attributes in the "Project" class do not cover the entire range of possible dates.
	* The "percentComplete" attribute in the "WorkProduct" class does not cover the entire range of possible percentages.
Requirement Coverage Score: 0.80 (out of 1)
4. Clarity &amp; Pragmatics:
The diagram is understandable and clear for technical stakeholders, but there are some minor issues:
	* The "Team" class is not properly associated with the "Project" class.
	* The "WorkProduct" class is not properly associated with the "System" class.
Clarity &amp; Pragmatics Score: 0.85 (out of 1)</t>
  </si>
  <si>
    <t>Deepseek</t>
  </si>
  <si>
    <t>4 Sonnet</t>
  </si>
  <si>
    <t>The cardinality of the 'manages' relationship between ProjectManager and Project is incorrect. It should be a one-to-many (1..*) relationship instead of one-to-one (1).; The attribute 'startDate' in class Project should be a Date type, but it's not specified correctly in the diagram.; The operation 'initiate()' in class Project seems to be missing its parameter list.; The inheritance hierarchy is correct, but there are no abstract classes defined.</t>
  </si>
  <si>
    <t>The 'ProjectManagementSystem' class has no attributes or methods, which makes it unclear what its purpose is.; The 'Team' class also has no attributes or methods, similar to the 'ProjectManagementSystem'.; The relationships between classes are not explicitly described in the text, but can be inferred from the diagrams. However, some relationships (e.g., 'manages') might be more clearly defined with additional context.; The inheritance relationship between 'Requirements' and 'WorkProduct' is unclear without a common base class or interface.; Attribute names ('startDate', 'endDate') could follow camelCase convention for consistency.</t>
  </si>
  <si>
    <t>Missing association between Team and ProjectManager for leading; Incorrect naming convention used (e.g., 'plataform' instead of 'platform'); Weak abstraction in the WorkProduct class with multiple inheritance</t>
  </si>
  <si>
    <t>4 Sonnet Example</t>
  </si>
  <si>
    <t>The 'use_as_input' and 'produce_as_output' relationships in the original diagram seem to imply that Projects use Requirements as input and produce Systems as output, which may not accurately represent the domain.; In the original diagram, the cardinality of ProjectManager's relationship with Team is specified as 1..*, but it should be 0..* because a project manager can lead multiple teams.; The abstract class WorkProduct in the original diagram has an abstract method validate(), but its concrete subclass Requirements has its own implementation of this method. This inconsistency may indicate that the domain requires further refinement.</t>
  </si>
  <si>
    <t>The 'manageProject' and 'leadTeam' methods in the ProjectManager class could be more descriptive.; The 'createProject' method in the ProjectManagementSystem class does not specify any return types, which may cause confusion for users.; The 'validateWithUsers' method in the Requirements class returns a boolean value but its purpose is unclear without further context.; The associations between classes could be more explicitly labeled to improve understandability.</t>
  </si>
  <si>
    <t>The class Project does not have a name attribute; The abstract class WorkProduct has an instance variable description of type string, which should be renamed to something more specific; There is no association between Team and ProjectManager; The relationship between System and Platform in the Benchmark diagram seems to be missing in the generated diagram</t>
  </si>
  <si>
    <t xml:space="preserve">3.5 Sonnet </t>
  </si>
  <si>
    <t>The cardinality of the relationship between ProjectManager and Team is incorrect. It should be '1' instead of '1..*'.; The operation 'terminate()' in class Project should be renamed to 'endProject()' or similar, as it's a standard practice to avoid using 'terminate()' for project management.; The attribute 'platform' in class System should have a more specific type than String, such as PlatformType.</t>
  </si>
  <si>
    <t>The class diagram uses different naming conventions for attributes and methods (e.g., 'startDate' vs 'Start Date'); Some classes have redundant or unnecessary attributes (e.g., 'ProjectManagementSystem' has no attributes); The relationship between 'WorkProduct' and its subclasses is not clearly defined, making it hard to understand the inheritance hierarchy</t>
  </si>
  <si>
    <t>Missing attributes in WorkProduct, System and Requirement classes; Inconsistent naming convention (e.g., 'percentComplete' vs 'PercentComplete'); No validation for 'deploy' method in System class; Association between ProjectManager and Team is missing</t>
  </si>
  <si>
    <t>3.5 Sonnet Example</t>
  </si>
  <si>
    <t>The 'initiateProject' and 'terminateProject' operations in the Project class seem to be related more to project management than actual project initiation/termination, which could be a domain concept.; The 'percentageCompleted' attribute in WorkProduct class does not have a corresponding operation or relationship that accurately represents how it gets updated; There seems to be an inconsistency in cardinality specifications for relationships between Project and Team</t>
  </si>
  <si>
    <t>The class 'Project' has a method 'initiateProject()' which is not clear about its purpose, it should be renamed to something like 'startProject()'.; The class 'Requirement' has a method 'publish(media: Media)' but the relationship with 'Media' is not clear, it should be specified as 'uses' or 'consumes'.; The classes 'Manager', 'Team', and 'System' have single responsibility, but their names do not clearly indicate this. Consider renaming them to something like 'ProjectLead', 'DevelopmentTeam', and 'ApplicationServer'.</t>
  </si>
  <si>
    <t>The cardinality of the 'publishedMedia' attribute in the Requirement class is not specified.; The 'validate' operation in the WorkProduct abstract class has a return type of 'boolean', but it should be void since it's likely to modify the object state.; There are two operations, 'publish' and 'deploy', that seem to have similar purposes. It would be better to merge them into one.; The 'validateRequirement' and 'validateSystem' methods in the Project class are not necessary because they can be implemented using the existing 'validate' operation in the WorkProduct abstract class.</t>
  </si>
  <si>
    <t>Inconsistent attribute naming convention (e.g., 'percentComplete' vs 'PercentComplete').; Weak subclass distinction between 'WorkProduct', 'Requirement', and 'System'.; Redundant attribute 'validationStatus' in the abstract class, as it's likely to be overridden by subclasses.; Inconsistent method signature for 'validate()' across classes.; Lack of clear separation of concerns between 'ProjectManager' and 'Team' roles.</t>
  </si>
  <si>
    <t>Missing association between Project and Team; Inconsistent naming convention (e.g., 'Plataform' vs. 'Platform'); Weak abstraction in the WorkProduct class</t>
  </si>
  <si>
    <t>The 'ProjectManager' class does not have any attributes or operations.; The 'percentComplete' attribute is used in multiple classes, which may indicate a design flaw.; The 'publish' and 'deploy' operations do not seem to be feasible with the current attributes and relationships.</t>
  </si>
  <si>
    <t>Inconsistent attribute naming conventions (e.g., 'startDate' vs 'Name'); Weak subclass distinction between WorkProduct and its concrete subclasses (System and Requirement); Missing relationships between Manager, Team, and Project classes</t>
  </si>
  <si>
    <t>Missing association between Project and Team; Nomenclature inconsistency (e.g., 'startDate' instead of 'Start Date'); Lack of abstraction in the WorkProduct class</t>
  </si>
  <si>
    <t>Haiku 3.5</t>
  </si>
  <si>
    <t>Incorrect cardinality specification on the 'uses' relationship between Project and Requirements; Operation 'validateWithUsers()' cannot be realized with existing data in the Requirements class; Attribute 'startDate' is missing in the WorkProduct abstract class</t>
  </si>
  <si>
    <t>Redundant attribute 'description' in abstract class WorkProduct, as it is not specified what specific description this represents.; Weak subclass distinction between Requirements and System, which are both subclasses of WorkProduct, but have different validation methods and attributes.; Inconsistent styling in the relationships between classes; some use '--&gt;', while others use '*--'. It's better to stick with a single convention throughout the diagram.</t>
  </si>
  <si>
    <t>Missing associations between Team and WorkProduct, Team is not related to any class; Naming inconsistency: 'plataform' in System class vs 'Platform' in the same class; Weak abstraction: ProjectManager class has multiple responsibilities (leading team, managing project); Inconsistent use of stereotypes (e.g., abstract class notation) for classes</t>
  </si>
  <si>
    <t>Haiku 3.5 Example</t>
  </si>
  <si>
    <t>The 'description' attribute in the WorkProduct class should be a String, not just any type.; The 'percentComplete' attribute in the WorkProduct class should have a correct cardinality specification.; The 'publishOn' method in the Requirements class does not seem to use existing data correctly.; The 'deployOn' method in the System class does not seem to use existing data correctly.; The 'leadTeam' operation in the ProjectManager class is missing a clear definition of what it leads.</t>
  </si>
  <si>
    <t>The class diagram uses a mix of both abstract and concrete attributes in the same class (e.g., WorkProduct has both description and percentComplete as attributes). This can make it harder to understand the intent of each attribute.; There are no clear distinctions between subclasses, making it difficult for stakeholders to see how classes relate to one another (e.g., Requirements and System inherit from WorkProduct but have different attributes and methods).; The use of a note in the diagram to explain common characteristics of WorkProduct is useful, but its placement and formatting make it hard to read.</t>
  </si>
  <si>
    <t>Missing association between Project and Team; Naming inconsistency (ProjectStatus enum vs project_status attribute in Project class); Weak abstraction (Project class has both initiation and termination methods, which could be encapsulated in a separate manager class)</t>
  </si>
  <si>
    <t>Opus 3</t>
  </si>
  <si>
    <t>The 'status' attribute in the Project class is not defined; The operation 'testAgainstRequirements()' in the System class cannot be implemented using the current attributes/relationships; The association between Project and Requirements has an incorrect cardinality specification</t>
  </si>
  <si>
    <t>The class 'Project' has redundant attributes (startDate, endDate) as they can be inferred from the project lifecycle.; The classes 'Requirements' and 'System' do not have clear inheritance hierarchies with their respective abstract classes 'WorkProduct'.; There are inconsistent associations between classes. For instance, a Project manages 1..* Projects, but a Team leads a single Project.</t>
  </si>
  <si>
    <t>Missing association between Project and Team; Attribute 'Name' missing in the generated class diagram for Project; Naming inconsistency: 'startDate' vs 'Start Date'; Weak abstraction: Class 'ProjectManager' could be abstracted further</t>
  </si>
  <si>
    <t>Opus 3 Example</t>
  </si>
  <si>
    <t>The cardinality of the relationship between 'Project' and 'Requirement' is not specified, but it seems to be a one-to-many relationship.; The operation 'terminate()' in class 'ProjectManager' may not be implementable without additional attributes or relationships.; The attribute 'percentComplete' in class 'WorkProduct' should probably be an integer or percentage value instead of a string.</t>
  </si>
  <si>
    <t>The class 'ProjectManagementSystem' is not described with any attributes or methods, which may make it unclear what its responsibilities are.; The classes 'Team', 'System', and 'WorkProduct' have very generic names that do not clearly convey their purpose or content.; There is no distinction in subclassing between the different types of work products (Requirement and System) and WorkProduct.</t>
  </si>
  <si>
    <t>Missing association between ProjectManager and Team; Inconsistent naming convention (e.g., 'manageProject' vs. 'lead'); Weak abstraction: classes are too specific and not abstracted enough</t>
  </si>
  <si>
    <t xml:space="preserve">Opus 4 </t>
  </si>
  <si>
    <t>Incorrect cardinality or multiplicity specifications for 'ProjectManager' to 'Project'; Attributes 'startDate' and 'endDate' are placed in the wrong class 'Project', they should be 'Date' type; Operation 'create()' cannot be realized with existing data in class 'Project'; Operation 'validateWithUsers()' is not implemented using the current attributes/relationships in class 'Requirements'</t>
  </si>
  <si>
    <t>The class 'WorkProduct' has an abstract method 'validate()', but it's not clear what the purpose of this method is without further context.; There are no multiplicities on the inheritance relationships, which could improve clarity when dealing with complex hierarchies.; Some classes have multiple responsibilities (e.g. 'ProjectManager' has both 'initiateProject()' and 'terminateProject()'), which can make the system harder to understand and maintain.</t>
  </si>
  <si>
    <t>Missing association between Project and Team in the 'benchmark' diagram; Naming inconsistency: In the generated class diagram, 'percentComplete' should be 'percentageComplete'; Weak abstraction: The 'WorkProduct' abstract class is not fully utilized</t>
  </si>
  <si>
    <t>Opus 4 Example</t>
  </si>
  <si>
    <t>Incorrect cardinality specification in the relationship between 'ProjectManagementSystem' and 'Project': it should be '1..*' instead of '1'; Attributes 'percentComplete' and 'description' are placed in the wrong class; they should be in 'WorkProduct' instead of being defined at the abstract level; Operations 'initiate()' and 'terminate(reason: string)' are not correctly implemented in 'Project'; they should call the corresponding operations on 'System'; The 'validateWithUsers(workshop: Workshop): boolean' operation cannot be realized with existing data in 'Requirements'; The 'updateProgress(percent: integer): void' operation is not implemented using the current attributes/relationships in 'WorkProduct'</t>
  </si>
  <si>
    <t>Lack of clear distinction between abstract class WorkProduct and its subclasses; Redundant attributes in classes such as Project, Requirements, System, Workshop, Media, and Platform; Inconsistent use of interface and concrete implementation in the expected best practices UML diagram; Missing relationships and associations between classes; Overly broad and generic attribute names in some classes</t>
  </si>
  <si>
    <t>Missing associations between Project and Team, and between Requirements and System; Naming inconsistency (e.g., 'ProjectManagementSystem' vs 'Manager'); Weak abstraction in the WorkProduct class</t>
  </si>
  <si>
    <t>Sonnet 3.7</t>
  </si>
  <si>
    <t>Incorrect cardinality specification for 'Project' to 'Requirements': it should be *-- Project (many-to-many) instead of Project *-- Requirements; Operation 'leadTeam(Team): void' in 'ProjectManager' cannot be realized with existing data; Attributes 'startDate: Date', 'endDate: Date', and 'description: String' are not present in the benchmark diagram</t>
  </si>
  <si>
    <t>The class 'WorkProduct' is missing from the original diagram, but it's shown in the comparison. This might cause confusion for stakeholders unfamiliar with UML.; In the original diagram, the 'createProject()' method is declared in the 'ProjectManagementSystem' class. However, in a real-world scenario, this might be better handled by a factory or builder pattern to decouple project creation from the system's management responsibilities.</t>
  </si>
  <si>
    <t>Missing attribute 'name' in Project class; Nomenclature inconsistency: 'ProjectManagementSystem' vs 'Manager'; Overly complex relationship between 'Requirements', 'Media', and 'Project'; Abstract method not properly inherited by concrete classes</t>
  </si>
  <si>
    <t xml:space="preserve">Sonnet 3.7 Example </t>
  </si>
  <si>
    <t>The cardinality of the 'uses' relationship between Project and Requirements should be specified (e.g., one-to-many or many-to-one).; The 'manageProject()' operation in the ProjectManager class may not be feasible without additional attributes.; The 'initiate()' and 'terminate()' operations in the Project class seem to be missing implementation details.; The abstract class WorkProduct has a validation operation that is not implemented in its concrete subclasses.; The 'validateAgainstRequirements()' operation in the System class implies a dependency on Requirements that may not exist.</t>
  </si>
  <si>
    <t>The class diagram is complex and difficult to understand due to the number of classes and relationships.; Some class names are not descriptive, such as 'ProjectManagementSystem' and 'WorkProduct'.; There are redundant attributes in some classes, e.g., 'startDate' and 'endDate' in the 'Project' class.; The distinction between subclasses is weak, e.g., 'Requirements' and 'System' inherit from 'WorkProduct' but have different behavior.; Inconsistent styling: the '+', '-', and '*' symbols for attributes and operations are not used consistently throughout the diagram.</t>
  </si>
  <si>
    <t>The 'Project' class does not have a clear and consistent naming convention.; There are no associations between the 'WorkProduct', 'System', and 'Requirement' classes to represent their relationships.; The 'validate()' method in the 'WorkProduct' abstract class is not implemented in its subclasses.</t>
  </si>
  <si>
    <t>0.582</t>
  </si>
  <si>
    <t>0.493</t>
  </si>
  <si>
    <t>0.557</t>
  </si>
  <si>
    <t>0.604</t>
  </si>
  <si>
    <t>0.496</t>
  </si>
  <si>
    <t>0.556</t>
  </si>
  <si>
    <t>0.530</t>
  </si>
  <si>
    <t>0.427</t>
  </si>
  <si>
    <t>0.613</t>
  </si>
  <si>
    <t>0.673</t>
  </si>
  <si>
    <t>0.471</t>
  </si>
  <si>
    <t>0.396</t>
  </si>
  <si>
    <t>0.537</t>
  </si>
  <si>
    <t>3.5 Sonnet</t>
  </si>
  <si>
    <t>Haiku 3</t>
  </si>
  <si>
    <t>Opus 4</t>
  </si>
  <si>
    <t>Haiku 3 Example</t>
  </si>
  <si>
    <t>"The diagram is missing associations between WorkProduct and System",
    "Naming inconsistency: 'initiateProject' vs 'InitiateProject'",
    "Weak abstraction: 'executeProject()' in Team class"</t>
  </si>
  <si>
    <t>Overall score</t>
  </si>
  <si>
    <t>Number of iteration</t>
  </si>
  <si>
    <t xml:space="preserve">Use case </t>
  </si>
  <si>
    <t xml:space="preserve">Project Management </t>
  </si>
  <si>
    <t xml:space="preserve">"Incorrect cardinality specification on the 'uses' relationship between Project and Requirement",
    "Aggregation used where a simple association is required on the 'produces' relationship between Project and System",
    "Attributes placed in the wrong class: Team's description attribute should be removed as it's not applicable to teams",
    "Operations defined where they cannot be realized with existing data: Project's initiate operation does not make sense without further context",
    "Operations that cannot be implemented using the current attributes/relationships: Validation's performValidation operation requires a ValidationMethod which is not modeled"
  </t>
  </si>
  <si>
    <t xml:space="preserve"> "The class diagram is too complex and contains many overlapping relationships, making it hard to understand.",
    "Some attributes (e.g., 'percentComplete' in WorkProduct) have inconsistent naming conventions.",
    "There are unclear responsibilities between classes; for example, the ProjectManager has methods to manage projects but also a method to lead teams, which seems redundant."
  </t>
  </si>
  <si>
    <t xml:space="preserve">    "Missing association between ProjectManager and Team",
    "Naming inconsistency: 'plataform' vs 'platform'",
    "Weak abstraction: classes like Media and Platform are too concrete"</t>
  </si>
  <si>
    <t xml:space="preserve"> "The 'assignRequirement' operation in the 'Project' class is not clear about what happens to the requirement after assignment.",
    "The 'manageProject' operation in the 'ProjectManager' class seems to be doing too much, as it has multiple responsibilities (project management and team management).",
    "The 'validateWithStakeholders' method in the 'RequirementValidation' class is not clear about what validation is being performed.",
    "There are no relationships between the 'TeamMember' class and other classes, which might be necessary for a project management system."</t>
  </si>
  <si>
    <t>"The class 'Project' has attributes that are likely to be implemented as database tables, but it's not clear what the relationships between them are.",
    "Some classes have both a 'validate()' method and specific validation methods (e.g., Requirement has 'validateWithWorkshop()'). Consider making one of these methods abstract or removing redundancy.",
    "There is no clear distinction between 'ProjectStatus' and other enum values. Using a single enum for all statuses might be more intuitive.",
    "Some class names are not in title case, which can make the diagram harder to read (e.g., 'projectmanagement system')."
  ],</t>
  </si>
  <si>
    <t>"Missing association between Manager and Team",
    "Inconsistent naming conventions (e.g., 'initiate' vs. 'createProject')",
    "Tight coupling between Project and Team classes"</t>
  </si>
  <si>
    <t>"The cardinality of the 'manage' relationship between ProjectManager and Project is not specified.",
    "The 'validateWithWorkshop' operation in the Requirement class cannot be realized with existing data.",
    "The 'deploy' operation in the System class requires a Platform object, but it is not clear how this relationship is established."</t>
  </si>
  <si>
    <t>"The class diagram is quite complex and contains many classes, which may make it difficult for stakeholders to understand.",
    "Some attribute names could be more descriptive (e.g., 'percentComplete' instead of just 'PercentComplete').",
    "There are no clear distinctions between different types of work products (e.g., System, Requirement) beyond their attributes.",
    "The relationships between classes could be made clearer with more specific labels or descriptions."</t>
  </si>
  <si>
    <t>"The relationship between Project and System should be 'produces' instead of '1..*'",
    "The attributes 'phoneNumber' in the Manager class and 'description' in the Team class seem out of scope for a project management system",
    "The operation 'assignToTask' in the TeamMember class is not necessary as it's already handled by the ProjectManager"</t>
  </si>
  <si>
    <t>"The class diagram is cluttered with too many classes and relationships, making it hard to understand the core functionality.",
    "Some classes (e.g., ProjectStatus) are not explicitly related to any other class, which can make it difficult for stakeholders to understand their role in the system.",
    "There are several abstract classes (e.g., WorkProduct, Validation) with many common attributes and methods, which could be refactored into a single base class for better reusability.",
    "The use of inheritance for validation classes (RequirementValidation, SystemValidation) is unclear; it's not immediately obvious why these classes inherit from the abstract Validation class instead of implementing the validation logic directly in the concrete work product classes."</t>
  </si>
  <si>
    <t>Generation</t>
  </si>
  <si>
    <t>"Incorrect cardinality/multiplicity specifications in the relationships between Project, Team, and TeamMember",
    "Use of aggregation where a simple association is required for SystemComponent and Requirement",
    "Attributes 'version', 'architecture', 'implementedRequirements' placed in the wrong class (System)",
    "Operation 'assignRequirement' cannot be realized with existing data in Project class",
    "Operation 'trackProjectProgress' cannot be implemented using the current attributes/relationships"</t>
  </si>
  <si>
    <t>"The class diagram is complex and may be difficult for non-technical stakeholders to understand.",
    "Some classes have many methods, which can make it hard to see the overall structure of the system.",
    "There are multiple inheritance hierarchies, which can increase complexity and make maintenance harder.",
    "Some relationships between classes are not clearly defined or are ambiguous (e.g. 'validated by', 'verified by', 'used as input')."</t>
  </si>
  <si>
    <t xml:space="preserve">    "Inconsistent naming conventions (e.g., 'ProjectManager' vs 'Manager')",
    "Missing associations between classes (e.g., between 'TeamMember' and 'Task')",
    "Weak abstraction in the 'WorkProduct' class"</t>
  </si>
  <si>
    <t xml:space="preserve"> "Lack of association between Project and System in the 'produces' relationship",
    "Names do not follow a consistent naming convention (e.g., camelCase vs underscore)",
    "The abstract class WorkProduct has a Validate method, but this is also present in its subclasses; consider using polymorphism"</t>
  </si>
  <si>
    <t>"Missing association between WorkProduct and Validation",
    "Naming inconsistency between 'project' and 'ProjectManagementSystem'",
    "Weak abstraction in the 'WorkProduct' class"</t>
  </si>
  <si>
    <t>Project Management + Conversation History</t>
  </si>
  <si>
    <t>Word Processing + Conversation History</t>
  </si>
  <si>
    <t>Word processing + Conversation History</t>
  </si>
  <si>
    <t>"The class 'Document' in the PlantUML diagram has an operation 'openDocument(document: Document): void', but it is not clear how this operation can be implemented using the existing attributes and relationships.",
    "The association between 'User' and 'Keyboard' should be a simple association, as aggregation is used when one object contains or owns another.",
    "There are some attribute placement errors in the PlantUML diagram. For example, the 'pageNumber' attribute is placed in the 'Page' class, but it seems more appropriate to place it in the 'Document' class."
  ],</t>
  </si>
  <si>
    <t>"The 'Document' class has multiple responsibilities (saving, printing, adding pages) which could be split into separate classes.",
    "Some methods in the 'Page' class have unrelated names (hideHeader, hideFooter), it would be better to use consistent naming conventions.",
    "There are many classes with very specific and narrow responsibilities (e.g. 'Letter', 'Digit'), this could be reduced by using inheritance or composition more effectively.",
    "The relationships between classes in the original diagram are not as clear as they could be, consider adding more documentation or rearranging the layout."</t>
  </si>
  <si>
    <t>"Some classes have weak abstraction (e.g., `Document` has many methods, consider using a factory method to create new instances)",
    "Missing association between `User` and `Keyboard` (should be bidirectional)",
    "Naming inconsistency: some classes use camelCase while others use underscore notation",
    "Redundant classes: `Letter`, `Digit`, and `SpecialCharacter` could be combined into a single class"</t>
  </si>
  <si>
    <t xml:space="preserve"> "In the 'Document Management System' diagram, the operation 'enterText(text: String): void' is not applicable in this context.",
    "The class 'Picture' has an attribute 'imageData: byte[]', which should be a file path or reference instead of raw binary data."</t>
  </si>
  <si>
    <t xml:space="preserve"> "The class diagram is overly complex with too many classes and relationships.",
    "Some classes (e.g., User, Document) have multiple responsibilities and could be split into separate classes.",
    "The use of boolean attributes (e.g., 'isModified' in the Document class) might not be necessary if there are methods to get/set this value.",
    "The relationships between classes are not consistently represented. For example, some classes have multiple relationships with other classes while others only have one.",
    "There is no clear distinction between general classes (e.g., Page) and specific subclasses (none in this case).",
    "Some class names could be more descriptive and follow a consistent naming convention."</t>
  </si>
  <si>
    <t xml:space="preserve"> "Missing associations between User and Page, Body, Header, Footer",
    "Naming inconsistency: 'document' vs 'Document'",
    "Weak abstraction: classes like Date, Time, PageNumber are not properly encapsulated"</t>
  </si>
  <si>
    <t>0.302</t>
  </si>
  <si>
    <t xml:space="preserve">"Incorrect cardinality specification on the 'manages' relationship between ProjectManagementSystem and Project.",
    "Use of aggregation where a simple association is required on the 'contains projects' relationship between ProjectManagementSystem and Project.",
    "Attributes placed in the wrong class, such as 'members' in Team which should be a collection of TeamMember instances.",
    "Operations defined where they cannot be realized with existing data, such as 'initiateProject' in ProjectManager without considering project status.",
    "Operations that cannot be implemented using the current attributes/relationships, such as 'terminateProject' in ProjectManager requiring additional data or context."
  "Incorrect cardinality specification on the 'manages' relationship between ProjectManagementSystem and Project.",
    "Use of aggregation where a simple association is required on the 'contains projects' relationship between ProjectManagementSystem and Project.",
    "Attributes placed in the wrong class, such as 'members' in Team which should be a collection of TeamMember instances.",
    "Operations defined where they cannot be realized with existing data, such as 'initiateProject' in ProjectManager without considering project status.",
    "Operations that cannot be implemented using the current attributes/relationships, such as 'terminateProject' in ProjectManager requiring additional data or context."
  "Incorrect cardinality specification on the 'manages' relationship between ProjectManagementSystem and Project.",
    "Use of aggregation where a simple association is required on the 'contains projects' relationship between ProjectManagementSystem and Project.",
    "Attributes placed in the wrong class, such as 'members' in Team which should be a collection of TeamMember instances.",
    "Operations defined where they cannot be realized with existing data, such as 'initiateProject' in ProjectManager without considering project status.",
    "Operations that cannot be implemented using the current attributes/relationships, such as 'terminateProject' in ProjectManager requiring additional data or context."
  </t>
  </si>
  <si>
    <t xml:space="preserve"> "issues": [
    "The abstract class WorkProduct has a lot of attributes and methods, which might be better separated into concrete subclasses.",
    "Some classes (e.g., ProjectManagementSystem) have very general names and could be more specific.",
    "The use of floating-point numbers for percentComplete in WorkProduct may lead to precision issues or unexpected behavior.",
    "The relationships between classes are not always clear (e.g., what does 'contains projects' mean?)."
  ],</t>
  </si>
  <si>
    <t xml:space="preserve">"Missing associations between Project and SystemProduct, as well as between Requirement and Workshop.",
    "Naming inconsistency: 'description' attribute in WorkProduct class should be renamed to 'descriptionOfWorkproduct'.",
    "Weak abstraction: ProjectStatus enum has too many values; consider using an abstract superclass with subclasses for each status."
  </t>
  </si>
  <si>
    <t xml:space="preserve"> "The attribute 'skills' in the TeamMember class seems to be incorrectly placed, as it's more likely a part of the project team rather than an individual.",
    "The operation 'assignToProject' in the TeamMember class could potentially cause issues if not implemented correctly, considering the current attributes and relationships."</t>
  </si>
  <si>
    <t xml:space="preserve">"The class diagram has a lot of classes, making it hard to understand the relationships between them.",
    "Some attributes (e.g., name in Project) are not explicitly defined as private or protected, which might lead to confusion about their visibility.",
    "There are multiple enums (ProjectStatus, MediaType, ValidationResult), but they are not consistently named and do not follow a clear naming convention.",
    "The abstract class WorkProduct has two methods with the same name (updateDescription and updateProgress) that are implemented differently in its subclasses. This can lead to confusion about the correct behavior of these methods."
 </t>
  </si>
  <si>
    <t>"The UML class diagram generated does not fully cover all system requirements.",
    "There are some naming inconsistencies between classes and relationships.",
    "Some attributes and methods could be encapsulated within their respective classes for better abstraction."</t>
  </si>
  <si>
    <t>Exercise</t>
  </si>
  <si>
    <t>Created by</t>
  </si>
  <si>
    <t>Use case 1 (AI)</t>
  </si>
  <si>
    <t>AI</t>
  </si>
  <si>
    <t>Use case 1 (Human)</t>
  </si>
  <si>
    <t>Human</t>
  </si>
  <si>
    <t>Use case 2 (AI)</t>
  </si>
  <si>
    <t>Use case 2 (Human)</t>
  </si>
  <si>
    <t>Use case 3 (AI)</t>
  </si>
  <si>
    <t>Use case 3 (Human)</t>
  </si>
  <si>
    <t>Use case 4 (AI)</t>
  </si>
  <si>
    <t>Use case 4 (Human)</t>
  </si>
  <si>
    <t>Use case 5 (AI)</t>
  </si>
  <si>
    <t>Use case 5 (Human)</t>
  </si>
  <si>
    <t>Use case 6 (AI)</t>
  </si>
  <si>
    <t>Use case 6 (Human)</t>
  </si>
  <si>
    <t>Use case 7 (AI)</t>
  </si>
  <si>
    <t>Use case 7 (Human)</t>
  </si>
  <si>
    <t>Use case 8 (AI)</t>
  </si>
  <si>
    <t>Use case 8 (Human)</t>
  </si>
  <si>
    <t>Use case 9 (AI)</t>
  </si>
  <si>
    <t>Use case 9 (Human)</t>
  </si>
  <si>
    <t>Use case 10 (AI)</t>
  </si>
  <si>
    <t>Use case 10 (Human)</t>
  </si>
  <si>
    <t>Use case 11 (AI)</t>
  </si>
  <si>
    <t>Use case 11 (Human)</t>
  </si>
  <si>
    <t>Use case 12 (AI)</t>
  </si>
  <si>
    <t>Use case 12 (Human)</t>
  </si>
  <si>
    <t>Use case 13 (AI)</t>
  </si>
  <si>
    <t>Use case 13 (Human)</t>
  </si>
  <si>
    <t>Use case 14 (AI)</t>
  </si>
  <si>
    <t>Use case 14 (Human)</t>
  </si>
  <si>
    <t>Use case 15 (AI)</t>
  </si>
  <si>
    <t>Use case 15 (Human)</t>
  </si>
  <si>
    <t>Use case 16 (AI)</t>
  </si>
  <si>
    <t>Use case 16 (Human)</t>
  </si>
  <si>
    <t>Use case 17 (AI)</t>
  </si>
  <si>
    <t>Use case 17 (Human)</t>
  </si>
  <si>
    <t>Use case 18 (AI)</t>
  </si>
  <si>
    <t>Use case 18(Human)</t>
  </si>
  <si>
    <t>Use case 19 (AI)</t>
  </si>
  <si>
    <t>Use case 19 (Human)</t>
  </si>
  <si>
    <t>Use case 5(AI)</t>
  </si>
  <si>
    <t>D57</t>
  </si>
  <si>
    <t>Difficulty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</si>
</sst>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u/>
      <sz val="11"/>
      <color theme="1"/>
      <name val="Aptos Narrow"/>
      <family val="2"/>
      <scheme val="minor"/>
    </font>
    <font>
      <sz val="5"/>
      <color rgb="FFCCCCCC"/>
      <name val="Consolas"/>
      <family val="3"/>
    </font>
    <font>
      <sz val="8"/>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9">
    <border>
      <left/>
      <right/>
      <top/>
      <bottom/>
      <diagonal/>
    </border>
    <border>
      <left/>
      <right/>
      <top/>
      <bottom style="medium">
        <color indexed="64"/>
      </bottom>
      <diagonal/>
    </border>
    <border>
      <left/>
      <right/>
      <top style="medium">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medium">
        <color indexed="64"/>
      </bottom>
      <diagonal/>
    </border>
    <border>
      <left/>
      <right/>
      <top style="thin">
        <color theme="9" tint="0.39997558519241921"/>
      </top>
      <bottom style="medium">
        <color indexed="64"/>
      </bottom>
      <diagonal/>
    </border>
    <border>
      <left style="thin">
        <color theme="9" tint="0.39997558519241921"/>
      </left>
      <right/>
      <top/>
      <bottom style="thin">
        <color theme="9" tint="0.39997558519241921"/>
      </bottom>
      <diagonal/>
    </border>
    <border>
      <left style="thin">
        <color theme="9" tint="0.39997558519241921"/>
      </left>
      <right/>
      <top style="thin">
        <color theme="9" tint="0.39997558519241921"/>
      </top>
      <bottom style="thin">
        <color indexed="64"/>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2" fillId="0" borderId="0" xfId="0" applyFont="1"/>
    <xf numFmtId="0" fontId="3" fillId="0" borderId="0" xfId="0" applyFont="1" applyAlignment="1">
      <alignment vertical="center"/>
    </xf>
    <xf numFmtId="0" fontId="0" fillId="0" borderId="0" xfId="0" applyAlignment="1">
      <alignment wrapText="1"/>
    </xf>
    <xf numFmtId="0" fontId="0" fillId="0" borderId="0" xfId="0" applyAlignment="1">
      <alignment vertical="center"/>
    </xf>
    <xf numFmtId="0" fontId="0" fillId="0" borderId="0" xfId="0" applyAlignment="1">
      <alignment horizontal="left" vertical="center" wrapText="1"/>
    </xf>
    <xf numFmtId="0" fontId="0" fillId="0" borderId="1" xfId="0" applyBorder="1"/>
    <xf numFmtId="0" fontId="0" fillId="0" borderId="1" xfId="0" applyBorder="1" applyAlignment="1">
      <alignment horizontal="left" vertical="center" wrapText="1"/>
    </xf>
    <xf numFmtId="0" fontId="0" fillId="0" borderId="1" xfId="0" applyBorder="1" applyAlignment="1">
      <alignment vertical="center"/>
    </xf>
    <xf numFmtId="0" fontId="0" fillId="0" borderId="2" xfId="0" applyBorder="1"/>
    <xf numFmtId="0" fontId="0" fillId="0" borderId="2" xfId="0" applyBorder="1" applyAlignment="1">
      <alignment wrapText="1"/>
    </xf>
    <xf numFmtId="0" fontId="0" fillId="0" borderId="0" xfId="0" applyAlignment="1">
      <alignment vertical="top" wrapText="1"/>
    </xf>
    <xf numFmtId="0" fontId="5" fillId="2" borderId="3" xfId="0" applyFont="1" applyFill="1" applyBorder="1"/>
    <xf numFmtId="0" fontId="5" fillId="2" borderId="4" xfId="0" applyFont="1" applyFill="1" applyBorder="1"/>
    <xf numFmtId="0" fontId="0" fillId="3" borderId="3" xfId="0" applyFill="1" applyBorder="1" applyAlignment="1">
      <alignment vertical="top"/>
    </xf>
    <xf numFmtId="0" fontId="0" fillId="3" borderId="4" xfId="0" applyFill="1" applyBorder="1" applyAlignment="1">
      <alignment vertical="top"/>
    </xf>
    <xf numFmtId="0" fontId="0" fillId="3" borderId="5" xfId="0" applyFill="1" applyBorder="1" applyAlignment="1">
      <alignment vertical="top"/>
    </xf>
    <xf numFmtId="0" fontId="0" fillId="3" borderId="6" xfId="0" applyFill="1" applyBorder="1" applyAlignment="1">
      <alignment vertical="top"/>
    </xf>
    <xf numFmtId="0" fontId="0" fillId="3" borderId="7" xfId="0" applyFill="1" applyBorder="1" applyAlignment="1">
      <alignment vertical="top"/>
    </xf>
    <xf numFmtId="0" fontId="0" fillId="3" borderId="8" xfId="0" applyFill="1" applyBorder="1" applyAlignment="1">
      <alignment vertical="top"/>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390854</xdr:colOff>
      <xdr:row>1</xdr:row>
      <xdr:rowOff>137948</xdr:rowOff>
    </xdr:from>
    <xdr:to>
      <xdr:col>4</xdr:col>
      <xdr:colOff>154889</xdr:colOff>
      <xdr:row>18</xdr:row>
      <xdr:rowOff>149278</xdr:rowOff>
    </xdr:to>
    <xdr:pic>
      <xdr:nvPicPr>
        <xdr:cNvPr id="2" name="Imagem 1">
          <a:extLst>
            <a:ext uri="{FF2B5EF4-FFF2-40B4-BE49-F238E27FC236}">
              <a16:creationId xmlns:a16="http://schemas.microsoft.com/office/drawing/2014/main" id="{2900CF43-92EB-5335-30FB-8736A3BC3E6F}"/>
            </a:ext>
          </a:extLst>
        </xdr:cNvPr>
        <xdr:cNvPicPr>
          <a:picLocks noChangeAspect="1"/>
        </xdr:cNvPicPr>
      </xdr:nvPicPr>
      <xdr:blipFill>
        <a:blip xmlns:r="http://schemas.openxmlformats.org/officeDocument/2006/relationships" r:embed="rId1"/>
        <a:stretch>
          <a:fillRect/>
        </a:stretch>
      </xdr:blipFill>
      <xdr:spPr>
        <a:xfrm>
          <a:off x="390854" y="321879"/>
          <a:ext cx="2365345" cy="3138158"/>
        </a:xfrm>
        <a:prstGeom prst="rect">
          <a:avLst/>
        </a:prstGeom>
      </xdr:spPr>
    </xdr:pic>
    <xdr:clientData/>
  </xdr:twoCellAnchor>
  <xdr:twoCellAnchor editAs="oneCell">
    <xdr:from>
      <xdr:col>5</xdr:col>
      <xdr:colOff>145603</xdr:colOff>
      <xdr:row>3</xdr:row>
      <xdr:rowOff>31491</xdr:rowOff>
    </xdr:from>
    <xdr:to>
      <xdr:col>10</xdr:col>
      <xdr:colOff>374431</xdr:colOff>
      <xdr:row>15</xdr:row>
      <xdr:rowOff>101675</xdr:rowOff>
    </xdr:to>
    <xdr:pic>
      <xdr:nvPicPr>
        <xdr:cNvPr id="3" name="Imagem 2">
          <a:extLst>
            <a:ext uri="{FF2B5EF4-FFF2-40B4-BE49-F238E27FC236}">
              <a16:creationId xmlns:a16="http://schemas.microsoft.com/office/drawing/2014/main" id="{0670828A-3A42-0CE1-CA50-05ECE5B0299F}"/>
            </a:ext>
          </a:extLst>
        </xdr:cNvPr>
        <xdr:cNvPicPr>
          <a:picLocks noChangeAspect="1"/>
        </xdr:cNvPicPr>
      </xdr:nvPicPr>
      <xdr:blipFill>
        <a:blip xmlns:r="http://schemas.openxmlformats.org/officeDocument/2006/relationships" r:embed="rId2"/>
        <a:stretch>
          <a:fillRect/>
        </a:stretch>
      </xdr:blipFill>
      <xdr:spPr>
        <a:xfrm>
          <a:off x="3397241" y="583284"/>
          <a:ext cx="3480466" cy="2277357"/>
        </a:xfrm>
        <a:prstGeom prst="rect">
          <a:avLst/>
        </a:prstGeom>
      </xdr:spPr>
    </xdr:pic>
    <xdr:clientData/>
  </xdr:twoCellAnchor>
  <xdr:twoCellAnchor editAs="oneCell">
    <xdr:from>
      <xdr:col>11</xdr:col>
      <xdr:colOff>479533</xdr:colOff>
      <xdr:row>1</xdr:row>
      <xdr:rowOff>183930</xdr:rowOff>
    </xdr:from>
    <xdr:to>
      <xdr:col>15</xdr:col>
      <xdr:colOff>251117</xdr:colOff>
      <xdr:row>17</xdr:row>
      <xdr:rowOff>67152</xdr:rowOff>
    </xdr:to>
    <xdr:pic>
      <xdr:nvPicPr>
        <xdr:cNvPr id="4" name="Imagem 3">
          <a:extLst>
            <a:ext uri="{FF2B5EF4-FFF2-40B4-BE49-F238E27FC236}">
              <a16:creationId xmlns:a16="http://schemas.microsoft.com/office/drawing/2014/main" id="{8929A8BB-A132-BEF6-40AE-5CD41AF26FDD}"/>
            </a:ext>
          </a:extLst>
        </xdr:cNvPr>
        <xdr:cNvPicPr>
          <a:picLocks noChangeAspect="1"/>
        </xdr:cNvPicPr>
      </xdr:nvPicPr>
      <xdr:blipFill>
        <a:blip xmlns:r="http://schemas.openxmlformats.org/officeDocument/2006/relationships" r:embed="rId3"/>
        <a:stretch>
          <a:fillRect/>
        </a:stretch>
      </xdr:blipFill>
      <xdr:spPr>
        <a:xfrm>
          <a:off x="7633136" y="367861"/>
          <a:ext cx="2372895" cy="2826119"/>
        </a:xfrm>
        <a:prstGeom prst="rect">
          <a:avLst/>
        </a:prstGeom>
      </xdr:spPr>
    </xdr:pic>
    <xdr:clientData/>
  </xdr:twoCellAnchor>
  <xdr:twoCellAnchor editAs="oneCell">
    <xdr:from>
      <xdr:col>5</xdr:col>
      <xdr:colOff>56592</xdr:colOff>
      <xdr:row>16</xdr:row>
      <xdr:rowOff>42820</xdr:rowOff>
    </xdr:from>
    <xdr:to>
      <xdr:col>10</xdr:col>
      <xdr:colOff>398899</xdr:colOff>
      <xdr:row>29</xdr:row>
      <xdr:rowOff>34404</xdr:rowOff>
    </xdr:to>
    <xdr:pic>
      <xdr:nvPicPr>
        <xdr:cNvPr id="5" name="Imagem 4">
          <a:extLst>
            <a:ext uri="{FF2B5EF4-FFF2-40B4-BE49-F238E27FC236}">
              <a16:creationId xmlns:a16="http://schemas.microsoft.com/office/drawing/2014/main" id="{B94ECAD0-60CF-0D80-959A-C67D9BA02A36}"/>
            </a:ext>
          </a:extLst>
        </xdr:cNvPr>
        <xdr:cNvPicPr>
          <a:picLocks noChangeAspect="1"/>
        </xdr:cNvPicPr>
      </xdr:nvPicPr>
      <xdr:blipFill>
        <a:blip xmlns:r="http://schemas.openxmlformats.org/officeDocument/2006/relationships" r:embed="rId4"/>
        <a:stretch>
          <a:fillRect/>
        </a:stretch>
      </xdr:blipFill>
      <xdr:spPr>
        <a:xfrm>
          <a:off x="3308230" y="2985717"/>
          <a:ext cx="3593945" cy="2382687"/>
        </a:xfrm>
        <a:prstGeom prst="rect">
          <a:avLst/>
        </a:prstGeom>
      </xdr:spPr>
    </xdr:pic>
    <xdr:clientData/>
  </xdr:twoCellAnchor>
  <xdr:twoCellAnchor editAs="oneCell">
    <xdr:from>
      <xdr:col>11</xdr:col>
      <xdr:colOff>462832</xdr:colOff>
      <xdr:row>17</xdr:row>
      <xdr:rowOff>123001</xdr:rowOff>
    </xdr:from>
    <xdr:to>
      <xdr:col>17</xdr:col>
      <xdr:colOff>364116</xdr:colOff>
      <xdr:row>29</xdr:row>
      <xdr:rowOff>123002</xdr:rowOff>
    </xdr:to>
    <xdr:pic>
      <xdr:nvPicPr>
        <xdr:cNvPr id="6" name="Imagem 5">
          <a:extLst>
            <a:ext uri="{FF2B5EF4-FFF2-40B4-BE49-F238E27FC236}">
              <a16:creationId xmlns:a16="http://schemas.microsoft.com/office/drawing/2014/main" id="{D6BC9BBF-E242-8FC0-B5F5-42A56EAFC51C}"/>
            </a:ext>
          </a:extLst>
        </xdr:cNvPr>
        <xdr:cNvPicPr>
          <a:picLocks noChangeAspect="1"/>
        </xdr:cNvPicPr>
      </xdr:nvPicPr>
      <xdr:blipFill>
        <a:blip xmlns:r="http://schemas.openxmlformats.org/officeDocument/2006/relationships" r:embed="rId5"/>
        <a:stretch>
          <a:fillRect/>
        </a:stretch>
      </xdr:blipFill>
      <xdr:spPr>
        <a:xfrm>
          <a:off x="7616435" y="3249829"/>
          <a:ext cx="3803250" cy="2207173"/>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3" connectionId="4" xr16:uid="{2631E6AC-7E4A-4339-B6D5-BBBE60F17F0A}" autoFormatId="16" applyNumberFormats="0" applyBorderFormats="0" applyFontFormats="0" applyPatternFormats="0" applyAlignmentFormats="0" applyWidthHeightFormats="0">
  <queryTableRefresh nextId="19" unboundColumnsRight="1">
    <queryTableFields count="18">
      <queryTableField id="1" name="Exercise" tableColumnId="1"/>
      <queryTableField id="2" name="Created by" tableColumnId="2"/>
      <queryTableField id="3" name="Validity Score" tableColumnId="3"/>
      <queryTableField id="4" name="Completeness score" tableColumnId="4"/>
      <queryTableField id="5" name="Semantic score" tableColumnId="5"/>
      <queryTableField id="6" name="Errors Semantic" tableColumnId="6"/>
      <queryTableField id="7" name="Pragmatic score" tableColumnId="7"/>
      <queryTableField id="8" name="Errors Pragmatic" tableColumnId="8"/>
      <queryTableField id="9" name="Syntactic score" tableColumnId="9"/>
      <queryTableField id="10" name="UML_completeness_score" tableColumnId="10"/>
      <queryTableField id="11" name="Uml quality score" tableColumnId="11"/>
      <queryTableField id="12" name="Requirement_coverage_score" tableColumnId="12"/>
      <queryTableField id="13" name="Pragmatic_clarity_score" tableColumnId="13"/>
      <queryTableField id="14" name="LLM score" tableColumnId="14"/>
      <queryTableField id="15" name="Errors llm as judge" tableColumnId="15"/>
      <queryTableField id="16" name="Rouge" tableColumnId="16"/>
      <queryTableField id="17" name="Overall score" tableColumnId="17"/>
      <queryTableField id="18" dataBound="0"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CE76C0-6C96-4CA6-95EE-BFCF097439E7}" name="G_eval_summary_with_comma_decimals" displayName="G_eval_summary_with_comma_decimals" ref="A1:R39" tableType="queryTable" totalsRowShown="0">
  <autoFilter ref="A1:R39" xr:uid="{BFCE76C0-6C96-4CA6-95EE-BFCF097439E7}"/>
  <tableColumns count="18">
    <tableColumn id="1" xr3:uid="{7AD99421-F700-4203-9154-E5F0BAECA604}" uniqueName="1" name="Exercise" queryTableFieldId="1" dataDxfId="2"/>
    <tableColumn id="2" xr3:uid="{2E0D367F-C1DF-4687-9E69-2756ADE6B976}" uniqueName="2" name="Created by" queryTableFieldId="2" dataDxfId="1"/>
    <tableColumn id="3" xr3:uid="{58D42E7F-A681-4B11-83BB-0F60B0A9FAD0}" uniqueName="3" name="Validity Score" queryTableFieldId="3"/>
    <tableColumn id="4" xr3:uid="{813FEFC0-A164-4CAE-A775-8242F867B484}" uniqueName="4" name="Completeness score" queryTableFieldId="4"/>
    <tableColumn id="5" xr3:uid="{3E37B5EC-9C2D-43CA-9B4F-43DFE6E2A98F}" uniqueName="5" name="Semantic score" queryTableFieldId="5"/>
    <tableColumn id="6" xr3:uid="{F9935BEF-D6BE-4DEA-BE2D-EF2EC0723832}" uniqueName="6" name="Errors Semantic" queryTableFieldId="6"/>
    <tableColumn id="7" xr3:uid="{FA8001FA-D94A-466E-AC57-CDE263157FEA}" uniqueName="7" name="Pragmatic score" queryTableFieldId="7"/>
    <tableColumn id="8" xr3:uid="{00A07F5D-8E1A-4EF2-9A7E-6D127C27D30E}" uniqueName="8" name="Errors Pragmatic" queryTableFieldId="8"/>
    <tableColumn id="9" xr3:uid="{8ABEE4CF-3BA9-4AD9-AB31-63F3C5C7C0A8}" uniqueName="9" name="Syntactic score" queryTableFieldId="9"/>
    <tableColumn id="10" xr3:uid="{F1887A2E-559C-4561-9F4E-685C53C19160}" uniqueName="10" name="UML_completeness_score" queryTableFieldId="10"/>
    <tableColumn id="11" xr3:uid="{3E0CCBD7-8C4F-4EB6-A4B9-65822928F0D8}" uniqueName="11" name="Uml quality score" queryTableFieldId="11"/>
    <tableColumn id="12" xr3:uid="{260A7603-FC3C-45DA-B755-CD718E508C89}" uniqueName="12" name="Requirement_coverage_score" queryTableFieldId="12"/>
    <tableColumn id="13" xr3:uid="{3B44B285-76FC-40D9-A4D9-48F65652CA11}" uniqueName="13" name="Pragmatic_clarity_score" queryTableFieldId="13"/>
    <tableColumn id="14" xr3:uid="{F7099ACC-7A7A-440E-A5B8-9C861AF7DED3}" uniqueName="14" name="LLM score" queryTableFieldId="14"/>
    <tableColumn id="15" xr3:uid="{EC6E0B59-03E1-4F71-9527-3C3F1372A84A}" uniqueName="15" name="Errors llm as judge" queryTableFieldId="15"/>
    <tableColumn id="16" xr3:uid="{67D0BF26-7CC1-4896-A4AA-955407B0949C}" uniqueName="16" name="Rouge" queryTableFieldId="16" dataDxfId="0"/>
    <tableColumn id="17" xr3:uid="{D7EEA745-A4C1-4C1D-A557-6B32D293B8AC}" uniqueName="17" name="Overall score" queryTableFieldId="17"/>
    <tableColumn id="18" xr3:uid="{19D1E9C0-E99B-4B0B-85E1-8836D47B88A5}" uniqueName="18" name="Difficulty level" queryTableFieldId="18"/>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AF31"/>
  <sheetViews>
    <sheetView tabSelected="1" zoomScale="55" zoomScaleNormal="55" workbookViewId="0">
      <selection activeCell="C3" sqref="C3:D6"/>
    </sheetView>
  </sheetViews>
  <sheetFormatPr defaultRowHeight="14.25" x14ac:dyDescent="0.45"/>
  <cols>
    <col min="3" max="3" width="24.86328125" bestFit="1" customWidth="1"/>
    <col min="4" max="4" width="19.19921875" bestFit="1" customWidth="1"/>
    <col min="5" max="6" width="13.59765625" bestFit="1" customWidth="1"/>
    <col min="7" max="7" width="11.73046875" bestFit="1" customWidth="1"/>
    <col min="8" max="8" width="8.86328125" customWidth="1"/>
    <col min="9" max="9" width="12.19921875" bestFit="1" customWidth="1"/>
    <col min="10" max="11" width="13.59765625" bestFit="1" customWidth="1"/>
    <col min="12" max="12" width="11.46484375" bestFit="1" customWidth="1"/>
    <col min="13" max="13" width="12.53125" bestFit="1" customWidth="1"/>
    <col min="14" max="15" width="13.59765625" bestFit="1" customWidth="1"/>
    <col min="17" max="17" width="11.46484375" bestFit="1" customWidth="1"/>
    <col min="18" max="18" width="12.53125" bestFit="1" customWidth="1"/>
    <col min="19" max="19" width="13.59765625" bestFit="1" customWidth="1"/>
    <col min="20" max="20" width="14" bestFit="1" customWidth="1"/>
    <col min="23" max="23" width="14.59765625" bestFit="1" customWidth="1"/>
    <col min="24" max="24" width="14" bestFit="1" customWidth="1"/>
    <col min="25" max="25" width="11.59765625" bestFit="1" customWidth="1"/>
    <col min="26" max="26" width="12.9296875" bestFit="1" customWidth="1"/>
    <col min="27" max="27" width="14" bestFit="1" customWidth="1"/>
  </cols>
  <sheetData>
    <row r="3" spans="3:32" x14ac:dyDescent="0.45">
      <c r="C3" t="s">
        <v>0</v>
      </c>
      <c r="D3" t="s">
        <v>1</v>
      </c>
    </row>
    <row r="4" spans="3:32" x14ac:dyDescent="0.45">
      <c r="C4" t="s">
        <v>2</v>
      </c>
      <c r="D4" t="s">
        <v>3</v>
      </c>
    </row>
    <row r="5" spans="3:32" x14ac:dyDescent="0.45">
      <c r="C5" t="s">
        <v>4</v>
      </c>
      <c r="D5" t="s">
        <v>5</v>
      </c>
    </row>
    <row r="6" spans="3:32" x14ac:dyDescent="0.45">
      <c r="C6" t="s">
        <v>6</v>
      </c>
    </row>
    <row r="8" spans="3:32" x14ac:dyDescent="0.45">
      <c r="D8" t="s">
        <v>7</v>
      </c>
      <c r="K8" t="s">
        <v>8</v>
      </c>
      <c r="R8" t="s">
        <v>9</v>
      </c>
      <c r="Y8" t="s">
        <v>10</v>
      </c>
    </row>
    <row r="9" spans="3:32" x14ac:dyDescent="0.45">
      <c r="C9" t="s">
        <v>11</v>
      </c>
      <c r="D9" t="s">
        <v>0</v>
      </c>
      <c r="E9" t="s">
        <v>1</v>
      </c>
      <c r="F9" t="s">
        <v>4</v>
      </c>
      <c r="G9" t="s">
        <v>19</v>
      </c>
      <c r="H9" t="s">
        <v>20</v>
      </c>
      <c r="I9" t="s">
        <v>22</v>
      </c>
      <c r="K9" t="s">
        <v>0</v>
      </c>
      <c r="L9" t="s">
        <v>1</v>
      </c>
      <c r="M9" t="s">
        <v>4</v>
      </c>
      <c r="N9" t="s">
        <v>19</v>
      </c>
      <c r="O9" t="s">
        <v>20</v>
      </c>
      <c r="P9" t="s">
        <v>22</v>
      </c>
      <c r="R9" t="s">
        <v>0</v>
      </c>
      <c r="S9" t="s">
        <v>12</v>
      </c>
      <c r="T9" t="s">
        <v>4</v>
      </c>
      <c r="U9" t="s">
        <v>19</v>
      </c>
      <c r="V9" t="s">
        <v>20</v>
      </c>
      <c r="W9" t="s">
        <v>22</v>
      </c>
      <c r="Y9" t="s">
        <v>0</v>
      </c>
      <c r="Z9" t="s">
        <v>12</v>
      </c>
      <c r="AA9" t="s">
        <v>4</v>
      </c>
      <c r="AB9" t="s">
        <v>19</v>
      </c>
      <c r="AC9" t="s">
        <v>20</v>
      </c>
      <c r="AD9" t="s">
        <v>22</v>
      </c>
      <c r="AF9" s="1"/>
    </row>
    <row r="10" spans="3:32" x14ac:dyDescent="0.45">
      <c r="C10" t="s">
        <v>13</v>
      </c>
      <c r="D10">
        <v>6</v>
      </c>
      <c r="E10">
        <v>1</v>
      </c>
      <c r="F10">
        <v>0</v>
      </c>
      <c r="G10">
        <f>D10/(D10+E10)</f>
        <v>0.8571428571428571</v>
      </c>
      <c r="H10">
        <f>D10/(D10+F10)</f>
        <v>1</v>
      </c>
      <c r="I10">
        <f>2*G10*H10/(G10+H10)</f>
        <v>0.92307692307692302</v>
      </c>
      <c r="K10">
        <v>7</v>
      </c>
      <c r="L10">
        <v>2</v>
      </c>
      <c r="M10">
        <v>0</v>
      </c>
      <c r="N10">
        <f>K10/(K10+L10)</f>
        <v>0.77777777777777779</v>
      </c>
      <c r="O10">
        <f>K10/(K10+M10)</f>
        <v>1</v>
      </c>
      <c r="P10">
        <f>2*N10*O10/(N10+O10)</f>
        <v>0.87500000000000011</v>
      </c>
      <c r="R10">
        <v>6</v>
      </c>
      <c r="S10">
        <v>2</v>
      </c>
      <c r="T10">
        <v>4</v>
      </c>
      <c r="U10">
        <f>R10/(R10+S10)</f>
        <v>0.75</v>
      </c>
      <c r="V10">
        <f>R10/(R10+T10)</f>
        <v>0.6</v>
      </c>
      <c r="W10">
        <f>2*U10*V10/(U10+V10)</f>
        <v>0.66666666666666652</v>
      </c>
      <c r="Y10">
        <v>5</v>
      </c>
      <c r="Z10">
        <v>4</v>
      </c>
      <c r="AA10">
        <v>2</v>
      </c>
      <c r="AB10">
        <f>Y10/(Y10+Z10)</f>
        <v>0.55555555555555558</v>
      </c>
      <c r="AC10">
        <f>Y10/(Y10+AA10)</f>
        <v>0.7142857142857143</v>
      </c>
      <c r="AD10">
        <f>2*AB10*AC10/(AB10+AC10)</f>
        <v>0.62500000000000011</v>
      </c>
    </row>
    <row r="11" spans="3:32" x14ac:dyDescent="0.45">
      <c r="C11" t="s">
        <v>14</v>
      </c>
      <c r="D11">
        <v>6</v>
      </c>
      <c r="E11">
        <v>1</v>
      </c>
      <c r="F11">
        <v>0</v>
      </c>
      <c r="G11">
        <f>D11/(D11+E11)</f>
        <v>0.8571428571428571</v>
      </c>
      <c r="H11">
        <f>D11/(D11+F11)</f>
        <v>1</v>
      </c>
      <c r="I11">
        <f t="shared" ref="I11:I26" si="0">2*G11*H11/(G11+H11)</f>
        <v>0.92307692307692302</v>
      </c>
      <c r="K11">
        <v>6</v>
      </c>
      <c r="L11">
        <v>2</v>
      </c>
      <c r="M11">
        <v>1</v>
      </c>
      <c r="N11">
        <f>K11/(K11+L11)</f>
        <v>0.75</v>
      </c>
      <c r="O11">
        <f>K11/(K11+M11)</f>
        <v>0.8571428571428571</v>
      </c>
      <c r="P11">
        <f t="shared" ref="P11:P26" si="1">2*N11*O11/(N11+O11)</f>
        <v>0.79999999999999993</v>
      </c>
      <c r="R11">
        <v>7</v>
      </c>
      <c r="S11">
        <v>2</v>
      </c>
      <c r="T11">
        <v>3</v>
      </c>
      <c r="U11">
        <f t="shared" ref="U11" si="2">R11/(R11+S11)</f>
        <v>0.77777777777777779</v>
      </c>
      <c r="V11">
        <f>R11/(R11+T11)</f>
        <v>0.7</v>
      </c>
      <c r="W11">
        <f t="shared" ref="W11" si="3">2*U11*V11/(U11+V11)</f>
        <v>0.73684210526315774</v>
      </c>
      <c r="Y11">
        <v>3</v>
      </c>
      <c r="Z11">
        <v>5</v>
      </c>
      <c r="AA11">
        <v>4</v>
      </c>
      <c r="AB11">
        <f t="shared" ref="AB11" si="4">Y11/(Y11+Z11)</f>
        <v>0.375</v>
      </c>
      <c r="AC11">
        <f>Y11/(Y11+AA11)</f>
        <v>0.42857142857142855</v>
      </c>
      <c r="AD11">
        <f t="shared" ref="AD11" si="5">2*AB11*AC11/(AB11+AC11)</f>
        <v>0.39999999999999997</v>
      </c>
    </row>
    <row r="13" spans="3:32" x14ac:dyDescent="0.45">
      <c r="D13" t="s">
        <v>7</v>
      </c>
      <c r="K13" t="s">
        <v>8</v>
      </c>
      <c r="R13" t="s">
        <v>9</v>
      </c>
      <c r="Y13" t="s">
        <v>10</v>
      </c>
    </row>
    <row r="14" spans="3:32" x14ac:dyDescent="0.45">
      <c r="C14" t="s">
        <v>15</v>
      </c>
      <c r="D14" t="s">
        <v>0</v>
      </c>
      <c r="E14" t="s">
        <v>1</v>
      </c>
      <c r="F14" t="s">
        <v>4</v>
      </c>
      <c r="K14" t="s">
        <v>0</v>
      </c>
      <c r="L14" t="s">
        <v>1</v>
      </c>
      <c r="M14" t="s">
        <v>4</v>
      </c>
      <c r="R14" t="s">
        <v>0</v>
      </c>
      <c r="S14" t="s">
        <v>12</v>
      </c>
      <c r="T14" t="s">
        <v>4</v>
      </c>
      <c r="Y14" t="s">
        <v>0</v>
      </c>
      <c r="Z14" t="s">
        <v>12</v>
      </c>
      <c r="AA14" t="s">
        <v>4</v>
      </c>
    </row>
    <row r="15" spans="3:32" x14ac:dyDescent="0.45">
      <c r="C15" t="s">
        <v>13</v>
      </c>
      <c r="D15">
        <v>6</v>
      </c>
      <c r="E15">
        <v>3</v>
      </c>
      <c r="F15">
        <v>0</v>
      </c>
      <c r="G15">
        <f t="shared" ref="G15:G26" si="6">D15/(D15+E15)</f>
        <v>0.66666666666666663</v>
      </c>
      <c r="H15">
        <f t="shared" ref="H15:H26" si="7">D15/(D15+F15)</f>
        <v>1</v>
      </c>
      <c r="I15">
        <f t="shared" si="0"/>
        <v>0.8</v>
      </c>
      <c r="K15">
        <v>7</v>
      </c>
      <c r="L15">
        <v>4</v>
      </c>
      <c r="M15">
        <v>0</v>
      </c>
      <c r="N15">
        <f>K15/(K15+L15)</f>
        <v>0.63636363636363635</v>
      </c>
      <c r="O15">
        <f>K15/(K15+M15)</f>
        <v>1</v>
      </c>
      <c r="P15">
        <f t="shared" si="1"/>
        <v>0.77777777777777779</v>
      </c>
      <c r="R15">
        <v>6</v>
      </c>
      <c r="S15">
        <v>5</v>
      </c>
      <c r="T15">
        <v>4</v>
      </c>
      <c r="U15">
        <f t="shared" ref="U15:U16" si="8">R15/(R15+S15)</f>
        <v>0.54545454545454541</v>
      </c>
      <c r="V15">
        <f t="shared" ref="V15:V16" si="9">R15/(R15+T15)</f>
        <v>0.6</v>
      </c>
      <c r="W15">
        <f t="shared" ref="W15:W16" si="10">2*U15*V15/(U15+V15)</f>
        <v>0.57142857142857129</v>
      </c>
      <c r="Y15">
        <v>5</v>
      </c>
      <c r="Z15">
        <v>4</v>
      </c>
      <c r="AA15">
        <v>2</v>
      </c>
      <c r="AB15">
        <f t="shared" ref="AB15:AB16" si="11">Y15/(Y15+Z15)</f>
        <v>0.55555555555555558</v>
      </c>
      <c r="AC15">
        <f t="shared" ref="AC15:AC16" si="12">Y15/(Y15+AA15)</f>
        <v>0.7142857142857143</v>
      </c>
      <c r="AD15">
        <f t="shared" ref="AD15:AD16" si="13">2*AB15*AC15/(AB15+AC15)</f>
        <v>0.62500000000000011</v>
      </c>
    </row>
    <row r="16" spans="3:32" x14ac:dyDescent="0.45">
      <c r="C16" t="s">
        <v>16</v>
      </c>
      <c r="D16">
        <v>6</v>
      </c>
      <c r="E16">
        <v>1</v>
      </c>
      <c r="F16">
        <v>0</v>
      </c>
      <c r="G16">
        <f t="shared" si="6"/>
        <v>0.8571428571428571</v>
      </c>
      <c r="H16">
        <f t="shared" si="7"/>
        <v>1</v>
      </c>
      <c r="I16">
        <f t="shared" si="0"/>
        <v>0.92307692307692302</v>
      </c>
      <c r="K16">
        <v>6</v>
      </c>
      <c r="L16">
        <v>3</v>
      </c>
      <c r="M16">
        <v>0</v>
      </c>
      <c r="N16">
        <f>K16/(K16+L16)</f>
        <v>0.66666666666666663</v>
      </c>
      <c r="O16">
        <f>K16/(K16+M16)</f>
        <v>1</v>
      </c>
      <c r="P16">
        <f t="shared" si="1"/>
        <v>0.8</v>
      </c>
      <c r="R16">
        <v>7</v>
      </c>
      <c r="S16">
        <v>2</v>
      </c>
      <c r="T16">
        <v>3</v>
      </c>
      <c r="U16">
        <f t="shared" si="8"/>
        <v>0.77777777777777779</v>
      </c>
      <c r="V16">
        <f t="shared" si="9"/>
        <v>0.7</v>
      </c>
      <c r="W16">
        <f t="shared" si="10"/>
        <v>0.73684210526315774</v>
      </c>
      <c r="Y16">
        <v>7</v>
      </c>
      <c r="Z16">
        <v>4</v>
      </c>
      <c r="AA16">
        <v>0</v>
      </c>
      <c r="AB16">
        <f t="shared" si="11"/>
        <v>0.63636363636363635</v>
      </c>
      <c r="AC16">
        <f t="shared" si="12"/>
        <v>1</v>
      </c>
      <c r="AD16">
        <f t="shared" si="13"/>
        <v>0.77777777777777779</v>
      </c>
    </row>
    <row r="18" spans="3:30" x14ac:dyDescent="0.45">
      <c r="D18" t="s">
        <v>7</v>
      </c>
      <c r="K18" t="s">
        <v>8</v>
      </c>
      <c r="R18" t="s">
        <v>9</v>
      </c>
      <c r="Y18" t="s">
        <v>10</v>
      </c>
    </row>
    <row r="19" spans="3:30" x14ac:dyDescent="0.45">
      <c r="C19" t="s">
        <v>17</v>
      </c>
      <c r="D19" t="s">
        <v>0</v>
      </c>
      <c r="E19" t="s">
        <v>1</v>
      </c>
      <c r="F19" t="s">
        <v>4</v>
      </c>
      <c r="K19" t="s">
        <v>0</v>
      </c>
      <c r="L19" t="s">
        <v>1</v>
      </c>
      <c r="M19" t="s">
        <v>4</v>
      </c>
      <c r="R19" t="s">
        <v>0</v>
      </c>
      <c r="S19" t="s">
        <v>12</v>
      </c>
      <c r="T19" t="s">
        <v>4</v>
      </c>
      <c r="Y19" t="s">
        <v>0</v>
      </c>
      <c r="Z19" t="s">
        <v>12</v>
      </c>
      <c r="AA19" t="s">
        <v>4</v>
      </c>
    </row>
    <row r="20" spans="3:30" x14ac:dyDescent="0.45">
      <c r="C20" t="s">
        <v>13</v>
      </c>
      <c r="D20">
        <v>6</v>
      </c>
      <c r="E20">
        <v>2</v>
      </c>
      <c r="F20">
        <v>0</v>
      </c>
      <c r="G20">
        <f t="shared" si="6"/>
        <v>0.75</v>
      </c>
      <c r="H20">
        <f t="shared" si="7"/>
        <v>1</v>
      </c>
      <c r="I20">
        <f t="shared" si="0"/>
        <v>0.8571428571428571</v>
      </c>
      <c r="K20">
        <v>6</v>
      </c>
      <c r="L20">
        <v>3</v>
      </c>
      <c r="M20">
        <v>1</v>
      </c>
      <c r="N20">
        <f>K20/(K20+L20)</f>
        <v>0.66666666666666663</v>
      </c>
      <c r="O20">
        <f>K20/(K20+M20)</f>
        <v>0.8571428571428571</v>
      </c>
      <c r="P20">
        <f t="shared" si="1"/>
        <v>0.75</v>
      </c>
      <c r="R20">
        <v>5</v>
      </c>
      <c r="S20">
        <v>3</v>
      </c>
      <c r="T20">
        <v>5</v>
      </c>
      <c r="U20">
        <f t="shared" ref="U20:U21" si="14">R20/(R20+S20)</f>
        <v>0.625</v>
      </c>
      <c r="V20">
        <f t="shared" ref="V20:V21" si="15">R20/(R20+T20)</f>
        <v>0.5</v>
      </c>
      <c r="W20">
        <f t="shared" ref="W20:W21" si="16">2*U20*V20/(U20+V20)</f>
        <v>0.55555555555555558</v>
      </c>
      <c r="Y20">
        <v>5</v>
      </c>
      <c r="Z20">
        <v>3</v>
      </c>
      <c r="AA20">
        <v>2</v>
      </c>
      <c r="AB20">
        <f t="shared" ref="AB20:AB21" si="17">Y20/(Y20+Z20)</f>
        <v>0.625</v>
      </c>
      <c r="AC20">
        <f t="shared" ref="AC20:AC21" si="18">Y20/(Y20+AA20)</f>
        <v>0.7142857142857143</v>
      </c>
      <c r="AD20">
        <f t="shared" ref="AD20:AD21" si="19">2*AB20*AC20/(AB20+AC20)</f>
        <v>0.66666666666666663</v>
      </c>
    </row>
    <row r="21" spans="3:30" x14ac:dyDescent="0.45">
      <c r="C21" t="s">
        <v>16</v>
      </c>
      <c r="D21">
        <v>6</v>
      </c>
      <c r="E21">
        <v>2</v>
      </c>
      <c r="F21">
        <v>0</v>
      </c>
      <c r="G21">
        <f t="shared" si="6"/>
        <v>0.75</v>
      </c>
      <c r="H21">
        <f t="shared" si="7"/>
        <v>1</v>
      </c>
      <c r="I21">
        <f t="shared" si="0"/>
        <v>0.8571428571428571</v>
      </c>
      <c r="K21">
        <v>6</v>
      </c>
      <c r="L21">
        <v>3</v>
      </c>
      <c r="M21">
        <v>1</v>
      </c>
      <c r="N21">
        <f>K21/(K21+L21)</f>
        <v>0.66666666666666663</v>
      </c>
      <c r="O21">
        <f>K21/(K21+M21)</f>
        <v>0.8571428571428571</v>
      </c>
      <c r="P21">
        <f t="shared" si="1"/>
        <v>0.75</v>
      </c>
      <c r="R21">
        <v>7</v>
      </c>
      <c r="S21">
        <v>6</v>
      </c>
      <c r="T21">
        <v>3</v>
      </c>
      <c r="U21">
        <f t="shared" si="14"/>
        <v>0.53846153846153844</v>
      </c>
      <c r="V21">
        <f t="shared" si="15"/>
        <v>0.7</v>
      </c>
      <c r="W21">
        <f t="shared" si="16"/>
        <v>0.60869565217391297</v>
      </c>
      <c r="Y21">
        <v>3</v>
      </c>
      <c r="Z21">
        <v>4</v>
      </c>
      <c r="AA21">
        <v>4</v>
      </c>
      <c r="AB21">
        <f t="shared" si="17"/>
        <v>0.42857142857142855</v>
      </c>
      <c r="AC21">
        <f t="shared" si="18"/>
        <v>0.42857142857142855</v>
      </c>
      <c r="AD21">
        <f t="shared" si="19"/>
        <v>0.42857142857142855</v>
      </c>
    </row>
    <row r="23" spans="3:30" x14ac:dyDescent="0.45">
      <c r="D23" t="s">
        <v>7</v>
      </c>
      <c r="K23" t="s">
        <v>8</v>
      </c>
      <c r="R23" t="s">
        <v>9</v>
      </c>
      <c r="Y23" t="s">
        <v>10</v>
      </c>
    </row>
    <row r="24" spans="3:30" x14ac:dyDescent="0.45">
      <c r="C24" t="s">
        <v>18</v>
      </c>
      <c r="D24" t="s">
        <v>0</v>
      </c>
      <c r="E24" t="s">
        <v>1</v>
      </c>
      <c r="F24" t="s">
        <v>4</v>
      </c>
      <c r="K24" t="s">
        <v>0</v>
      </c>
      <c r="L24" t="s">
        <v>1</v>
      </c>
      <c r="M24" t="s">
        <v>4</v>
      </c>
      <c r="R24" t="s">
        <v>0</v>
      </c>
      <c r="S24" t="s">
        <v>12</v>
      </c>
      <c r="T24" t="s">
        <v>4</v>
      </c>
      <c r="Y24" t="s">
        <v>0</v>
      </c>
      <c r="Z24" t="s">
        <v>12</v>
      </c>
      <c r="AA24" t="s">
        <v>4</v>
      </c>
    </row>
    <row r="25" spans="3:30" x14ac:dyDescent="0.45">
      <c r="C25" t="s">
        <v>13</v>
      </c>
      <c r="D25">
        <v>6</v>
      </c>
      <c r="E25">
        <v>2</v>
      </c>
      <c r="F25">
        <v>0</v>
      </c>
      <c r="G25">
        <f t="shared" si="6"/>
        <v>0.75</v>
      </c>
      <c r="H25">
        <f t="shared" si="7"/>
        <v>1</v>
      </c>
      <c r="I25">
        <f t="shared" si="0"/>
        <v>0.8571428571428571</v>
      </c>
      <c r="K25">
        <v>6</v>
      </c>
      <c r="L25">
        <v>3</v>
      </c>
      <c r="M25">
        <v>1</v>
      </c>
      <c r="N25">
        <f>K25/(K25+L25)</f>
        <v>0.66666666666666663</v>
      </c>
      <c r="O25">
        <f>K25/(K25+M25)</f>
        <v>0.8571428571428571</v>
      </c>
      <c r="P25">
        <f t="shared" si="1"/>
        <v>0.75</v>
      </c>
      <c r="R25">
        <v>5</v>
      </c>
      <c r="S25">
        <v>6</v>
      </c>
      <c r="T25">
        <v>5</v>
      </c>
      <c r="U25">
        <f t="shared" ref="U25:U26" si="20">R25/(R25+S25)</f>
        <v>0.45454545454545453</v>
      </c>
      <c r="V25">
        <f t="shared" ref="V25:V26" si="21">R25/(R25+T25)</f>
        <v>0.5</v>
      </c>
      <c r="W25">
        <f t="shared" ref="W25:W26" si="22">2*U25*V25/(U25+V25)</f>
        <v>0.47619047619047616</v>
      </c>
      <c r="Y25">
        <v>5</v>
      </c>
      <c r="Z25">
        <v>2</v>
      </c>
      <c r="AA25">
        <v>2</v>
      </c>
      <c r="AB25">
        <f t="shared" ref="AB25:AB26" si="23">Y25/(Y25+Z25)</f>
        <v>0.7142857142857143</v>
      </c>
      <c r="AC25">
        <f t="shared" ref="AC25:AC26" si="24">Y25/(Y25+AA25)</f>
        <v>0.7142857142857143</v>
      </c>
      <c r="AD25">
        <f t="shared" ref="AD25:AD26" si="25">2*AB25*AC25/(AB25+AC25)</f>
        <v>0.7142857142857143</v>
      </c>
    </row>
    <row r="26" spans="3:30" x14ac:dyDescent="0.45">
      <c r="C26" t="s">
        <v>16</v>
      </c>
      <c r="D26">
        <v>6</v>
      </c>
      <c r="E26">
        <v>2</v>
      </c>
      <c r="F26">
        <v>0</v>
      </c>
      <c r="G26">
        <f t="shared" si="6"/>
        <v>0.75</v>
      </c>
      <c r="H26">
        <f t="shared" si="7"/>
        <v>1</v>
      </c>
      <c r="I26">
        <f t="shared" si="0"/>
        <v>0.8571428571428571</v>
      </c>
      <c r="K26">
        <v>6</v>
      </c>
      <c r="L26">
        <v>3</v>
      </c>
      <c r="M26">
        <v>1</v>
      </c>
      <c r="N26">
        <f>K26/(K26+L26)</f>
        <v>0.66666666666666663</v>
      </c>
      <c r="O26">
        <f>K26/(K26+M26)</f>
        <v>0.8571428571428571</v>
      </c>
      <c r="P26">
        <f t="shared" si="1"/>
        <v>0.75</v>
      </c>
      <c r="R26">
        <v>4</v>
      </c>
      <c r="S26">
        <v>0</v>
      </c>
      <c r="T26">
        <v>6</v>
      </c>
      <c r="U26">
        <f t="shared" si="20"/>
        <v>1</v>
      </c>
      <c r="V26">
        <f t="shared" si="21"/>
        <v>0.4</v>
      </c>
      <c r="W26">
        <f t="shared" si="22"/>
        <v>0.57142857142857151</v>
      </c>
      <c r="Y26">
        <v>3</v>
      </c>
      <c r="Z26">
        <v>2</v>
      </c>
      <c r="AA26">
        <v>4</v>
      </c>
      <c r="AB26">
        <f t="shared" si="23"/>
        <v>0.6</v>
      </c>
      <c r="AC26">
        <f t="shared" si="24"/>
        <v>0.42857142857142855</v>
      </c>
      <c r="AD26">
        <f t="shared" si="25"/>
        <v>0.5</v>
      </c>
    </row>
    <row r="28" spans="3:30" x14ac:dyDescent="0.45">
      <c r="D28" t="s">
        <v>7</v>
      </c>
      <c r="K28" t="s">
        <v>8</v>
      </c>
      <c r="R28" t="s">
        <v>9</v>
      </c>
      <c r="Y28" t="s">
        <v>10</v>
      </c>
    </row>
    <row r="29" spans="3:30" x14ac:dyDescent="0.45">
      <c r="C29" t="s">
        <v>18</v>
      </c>
      <c r="D29" t="s">
        <v>0</v>
      </c>
      <c r="E29" t="s">
        <v>1</v>
      </c>
      <c r="F29" t="s">
        <v>4</v>
      </c>
      <c r="K29" t="s">
        <v>0</v>
      </c>
      <c r="L29" t="s">
        <v>1</v>
      </c>
      <c r="M29" t="s">
        <v>4</v>
      </c>
      <c r="R29" t="s">
        <v>0</v>
      </c>
      <c r="S29" t="s">
        <v>12</v>
      </c>
      <c r="T29" t="s">
        <v>4</v>
      </c>
      <c r="Y29" t="s">
        <v>0</v>
      </c>
      <c r="Z29" t="s">
        <v>12</v>
      </c>
      <c r="AA29" t="s">
        <v>4</v>
      </c>
    </row>
    <row r="30" spans="3:30" x14ac:dyDescent="0.45">
      <c r="C30" t="s">
        <v>13</v>
      </c>
      <c r="D30">
        <v>6</v>
      </c>
      <c r="E30">
        <v>2</v>
      </c>
      <c r="F30">
        <v>0</v>
      </c>
      <c r="G30">
        <f t="shared" ref="G30:G31" si="26">D30/(D30+E30)</f>
        <v>0.75</v>
      </c>
      <c r="H30">
        <f t="shared" ref="H30:H31" si="27">D30/(D30+F30)</f>
        <v>1</v>
      </c>
      <c r="I30">
        <f t="shared" ref="I30:I31" si="28">2*G30*H30/(G30+H30)</f>
        <v>0.8571428571428571</v>
      </c>
      <c r="K30">
        <v>6</v>
      </c>
      <c r="L30">
        <v>3</v>
      </c>
      <c r="M30">
        <v>1</v>
      </c>
      <c r="N30">
        <f>K30/(K30+L30)</f>
        <v>0.66666666666666663</v>
      </c>
      <c r="O30">
        <f>K30/(K30+M30)</f>
        <v>0.8571428571428571</v>
      </c>
      <c r="P30">
        <f t="shared" ref="P30:P31" si="29">2*N30*O30/(N30+O30)</f>
        <v>0.75</v>
      </c>
      <c r="R30">
        <v>5</v>
      </c>
      <c r="S30">
        <v>6</v>
      </c>
      <c r="T30">
        <v>5</v>
      </c>
      <c r="U30">
        <f t="shared" ref="U30:U31" si="30">R30/(R30+S30)</f>
        <v>0.45454545454545453</v>
      </c>
      <c r="V30">
        <f t="shared" ref="V30:V31" si="31">R30/(R30+T30)</f>
        <v>0.5</v>
      </c>
      <c r="W30">
        <f t="shared" ref="W30:W31" si="32">2*U30*V30/(U30+V30)</f>
        <v>0.47619047619047616</v>
      </c>
      <c r="Y30">
        <v>5</v>
      </c>
      <c r="Z30">
        <v>2</v>
      </c>
      <c r="AA30">
        <v>2</v>
      </c>
      <c r="AB30">
        <f t="shared" ref="AB30:AB31" si="33">Y30/(Y30+Z30)</f>
        <v>0.7142857142857143</v>
      </c>
      <c r="AC30">
        <f t="shared" ref="AC30:AC31" si="34">Y30/(Y30+AA30)</f>
        <v>0.7142857142857143</v>
      </c>
      <c r="AD30">
        <f t="shared" ref="AD30:AD31" si="35">2*AB30*AC30/(AB30+AC30)</f>
        <v>0.7142857142857143</v>
      </c>
    </row>
    <row r="31" spans="3:30" x14ac:dyDescent="0.45">
      <c r="C31" t="s">
        <v>16</v>
      </c>
      <c r="D31">
        <v>6</v>
      </c>
      <c r="E31">
        <v>2</v>
      </c>
      <c r="F31">
        <v>0</v>
      </c>
      <c r="G31">
        <f t="shared" si="26"/>
        <v>0.75</v>
      </c>
      <c r="H31">
        <f t="shared" si="27"/>
        <v>1</v>
      </c>
      <c r="I31">
        <f t="shared" si="28"/>
        <v>0.8571428571428571</v>
      </c>
      <c r="K31">
        <v>6</v>
      </c>
      <c r="L31">
        <v>3</v>
      </c>
      <c r="M31">
        <v>1</v>
      </c>
      <c r="N31">
        <f>K31/(K31+L31)</f>
        <v>0.66666666666666663</v>
      </c>
      <c r="O31">
        <f>K31/(K31+M31)</f>
        <v>0.8571428571428571</v>
      </c>
      <c r="P31">
        <f t="shared" si="29"/>
        <v>0.75</v>
      </c>
      <c r="R31">
        <v>4</v>
      </c>
      <c r="S31">
        <v>0</v>
      </c>
      <c r="T31">
        <v>6</v>
      </c>
      <c r="U31">
        <f t="shared" si="30"/>
        <v>1</v>
      </c>
      <c r="V31">
        <f t="shared" si="31"/>
        <v>0.4</v>
      </c>
      <c r="W31">
        <f t="shared" si="32"/>
        <v>0.57142857142857151</v>
      </c>
      <c r="Y31">
        <v>3</v>
      </c>
      <c r="Z31">
        <v>2</v>
      </c>
      <c r="AA31">
        <v>4</v>
      </c>
      <c r="AB31">
        <f t="shared" si="33"/>
        <v>0.6</v>
      </c>
      <c r="AC31">
        <f t="shared" si="34"/>
        <v>0.42857142857142855</v>
      </c>
      <c r="AD31">
        <f t="shared" si="35"/>
        <v>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0A88-3D86-4C3F-88F1-297023C1A149}">
  <dimension ref="A1:O61"/>
  <sheetViews>
    <sheetView zoomScaleNormal="100" workbookViewId="0">
      <pane ySplit="1" topLeftCell="A2" activePane="bottomLeft" state="frozen"/>
      <selection activeCell="I12" sqref="I12"/>
      <selection pane="bottomLeft" activeCell="I61" sqref="A1:I61"/>
    </sheetView>
  </sheetViews>
  <sheetFormatPr defaultRowHeight="14.25" x14ac:dyDescent="0.45"/>
  <cols>
    <col min="1" max="1" width="11" bestFit="1" customWidth="1"/>
    <col min="3" max="3" width="11.3984375" bestFit="1" customWidth="1"/>
    <col min="14" max="14" width="22.33203125" customWidth="1"/>
    <col min="15" max="15" width="20.59765625" customWidth="1"/>
  </cols>
  <sheetData>
    <row r="1" spans="1:9" x14ac:dyDescent="0.45">
      <c r="A1" t="s">
        <v>34</v>
      </c>
      <c r="B1" t="s">
        <v>40</v>
      </c>
      <c r="C1" t="s">
        <v>35</v>
      </c>
      <c r="D1" t="s">
        <v>36</v>
      </c>
      <c r="E1" t="s">
        <v>37</v>
      </c>
      <c r="F1" t="s">
        <v>38</v>
      </c>
      <c r="G1" t="s">
        <v>19</v>
      </c>
      <c r="H1" t="s">
        <v>20</v>
      </c>
      <c r="I1" t="s">
        <v>21</v>
      </c>
    </row>
    <row r="2" spans="1:9" x14ac:dyDescent="0.45">
      <c r="A2" t="s">
        <v>11</v>
      </c>
      <c r="B2" t="s">
        <v>13</v>
      </c>
      <c r="C2" t="s">
        <v>7</v>
      </c>
      <c r="D2">
        <v>6</v>
      </c>
      <c r="E2">
        <v>1</v>
      </c>
      <c r="F2">
        <v>0</v>
      </c>
      <c r="G2">
        <v>0.85714285700000004</v>
      </c>
      <c r="H2">
        <v>1</v>
      </c>
      <c r="I2">
        <v>0.92307692299999999</v>
      </c>
    </row>
    <row r="3" spans="1:9" x14ac:dyDescent="0.45">
      <c r="A3" t="s">
        <v>11</v>
      </c>
      <c r="B3" t="s">
        <v>13</v>
      </c>
      <c r="C3" t="s">
        <v>8</v>
      </c>
      <c r="D3">
        <v>7</v>
      </c>
      <c r="E3">
        <v>2</v>
      </c>
      <c r="F3">
        <v>0</v>
      </c>
      <c r="G3">
        <v>0.77777777800000003</v>
      </c>
      <c r="H3">
        <v>1</v>
      </c>
      <c r="I3">
        <v>0.875</v>
      </c>
    </row>
    <row r="4" spans="1:9" x14ac:dyDescent="0.45">
      <c r="A4" t="s">
        <v>11</v>
      </c>
      <c r="B4" t="s">
        <v>13</v>
      </c>
      <c r="C4" t="s">
        <v>9</v>
      </c>
      <c r="D4">
        <v>6</v>
      </c>
      <c r="E4">
        <v>2</v>
      </c>
      <c r="F4">
        <v>4</v>
      </c>
      <c r="G4">
        <v>0.75</v>
      </c>
      <c r="H4">
        <v>0.6</v>
      </c>
      <c r="I4">
        <v>0.66666666699999999</v>
      </c>
    </row>
    <row r="5" spans="1:9" x14ac:dyDescent="0.45">
      <c r="A5" t="s">
        <v>11</v>
      </c>
      <c r="B5" t="s">
        <v>13</v>
      </c>
      <c r="C5" t="s">
        <v>10</v>
      </c>
      <c r="D5">
        <v>5</v>
      </c>
      <c r="E5">
        <v>4</v>
      </c>
      <c r="F5">
        <v>2</v>
      </c>
      <c r="G5">
        <v>0.55555555599999995</v>
      </c>
      <c r="H5">
        <v>0.71428571399999996</v>
      </c>
      <c r="I5">
        <v>0.625</v>
      </c>
    </row>
    <row r="6" spans="1:9" x14ac:dyDescent="0.45">
      <c r="A6" t="s">
        <v>11</v>
      </c>
      <c r="B6" t="s">
        <v>16</v>
      </c>
      <c r="C6" t="s">
        <v>7</v>
      </c>
      <c r="D6">
        <v>6</v>
      </c>
      <c r="E6">
        <v>1</v>
      </c>
      <c r="F6">
        <v>0</v>
      </c>
      <c r="G6">
        <v>0.85714285700000004</v>
      </c>
      <c r="H6">
        <v>1</v>
      </c>
      <c r="I6">
        <v>0.92307692299999999</v>
      </c>
    </row>
    <row r="7" spans="1:9" x14ac:dyDescent="0.45">
      <c r="A7" t="s">
        <v>11</v>
      </c>
      <c r="B7" t="s">
        <v>16</v>
      </c>
      <c r="C7" t="s">
        <v>8</v>
      </c>
      <c r="D7">
        <v>6</v>
      </c>
      <c r="E7">
        <v>2</v>
      </c>
      <c r="F7">
        <v>1</v>
      </c>
      <c r="G7">
        <v>0.75</v>
      </c>
      <c r="H7">
        <v>0.85714285700000004</v>
      </c>
      <c r="I7">
        <v>0.8</v>
      </c>
    </row>
    <row r="8" spans="1:9" x14ac:dyDescent="0.45">
      <c r="A8" t="s">
        <v>11</v>
      </c>
      <c r="B8" t="s">
        <v>16</v>
      </c>
      <c r="C8" t="s">
        <v>9</v>
      </c>
      <c r="D8">
        <v>7</v>
      </c>
      <c r="E8">
        <v>2</v>
      </c>
      <c r="F8">
        <v>3</v>
      </c>
      <c r="G8">
        <v>0.77777777800000003</v>
      </c>
      <c r="H8">
        <v>0.7</v>
      </c>
      <c r="I8">
        <v>0.73684210500000002</v>
      </c>
    </row>
    <row r="9" spans="1:9" x14ac:dyDescent="0.45">
      <c r="A9" t="s">
        <v>11</v>
      </c>
      <c r="B9" t="s">
        <v>16</v>
      </c>
      <c r="C9" t="s">
        <v>10</v>
      </c>
      <c r="D9">
        <v>3</v>
      </c>
      <c r="E9">
        <v>5</v>
      </c>
      <c r="F9">
        <v>4</v>
      </c>
      <c r="G9">
        <v>0.375</v>
      </c>
      <c r="H9">
        <v>0.428571429</v>
      </c>
      <c r="I9">
        <v>0.4</v>
      </c>
    </row>
    <row r="10" spans="1:9" x14ac:dyDescent="0.45">
      <c r="A10" t="s">
        <v>32</v>
      </c>
      <c r="B10" t="s">
        <v>13</v>
      </c>
      <c r="C10" t="s">
        <v>7</v>
      </c>
      <c r="D10">
        <v>6</v>
      </c>
      <c r="E10">
        <v>3</v>
      </c>
      <c r="F10">
        <v>0</v>
      </c>
      <c r="G10">
        <f t="shared" ref="G10" si="0">D10/(D10+E10)</f>
        <v>0.66666666666666663</v>
      </c>
      <c r="H10">
        <f t="shared" ref="H10" si="1">D10/(D10+F10)</f>
        <v>1</v>
      </c>
      <c r="I10">
        <f t="shared" ref="I10:I49" si="2">2*G10*H10/(G10+H10)</f>
        <v>0.8</v>
      </c>
    </row>
    <row r="11" spans="1:9" x14ac:dyDescent="0.45">
      <c r="A11" t="s">
        <v>32</v>
      </c>
      <c r="B11" t="s">
        <v>13</v>
      </c>
      <c r="C11" t="s">
        <v>8</v>
      </c>
      <c r="D11">
        <v>7</v>
      </c>
      <c r="E11">
        <v>4</v>
      </c>
      <c r="F11">
        <v>0</v>
      </c>
      <c r="G11">
        <f>D11/(D11+E11)</f>
        <v>0.63636363636363635</v>
      </c>
      <c r="H11">
        <f>D11/(D11+F11)</f>
        <v>1</v>
      </c>
      <c r="I11">
        <f t="shared" si="2"/>
        <v>0.77777777777777779</v>
      </c>
    </row>
    <row r="12" spans="1:9" x14ac:dyDescent="0.45">
      <c r="A12" t="s">
        <v>32</v>
      </c>
      <c r="B12" t="s">
        <v>13</v>
      </c>
      <c r="C12" t="s">
        <v>9</v>
      </c>
      <c r="D12">
        <v>6</v>
      </c>
      <c r="E12">
        <v>5</v>
      </c>
      <c r="F12">
        <v>4</v>
      </c>
      <c r="G12">
        <f t="shared" ref="G12:G14" si="3">D12/(D12+E12)</f>
        <v>0.54545454545454541</v>
      </c>
      <c r="H12">
        <f t="shared" ref="H12:H14" si="4">D12/(D12+F12)</f>
        <v>0.6</v>
      </c>
      <c r="I12">
        <f t="shared" si="2"/>
        <v>0.57142857142857129</v>
      </c>
    </row>
    <row r="13" spans="1:9" x14ac:dyDescent="0.45">
      <c r="A13" t="s">
        <v>32</v>
      </c>
      <c r="B13" t="s">
        <v>13</v>
      </c>
      <c r="C13" t="s">
        <v>10</v>
      </c>
      <c r="D13">
        <v>5</v>
      </c>
      <c r="E13">
        <v>4</v>
      </c>
      <c r="F13">
        <v>2</v>
      </c>
      <c r="G13">
        <f t="shared" si="3"/>
        <v>0.55555555555555558</v>
      </c>
      <c r="H13">
        <f t="shared" si="4"/>
        <v>0.7142857142857143</v>
      </c>
      <c r="I13">
        <f t="shared" si="2"/>
        <v>0.62500000000000011</v>
      </c>
    </row>
    <row r="14" spans="1:9" x14ac:dyDescent="0.45">
      <c r="A14" t="s">
        <v>32</v>
      </c>
      <c r="B14" t="s">
        <v>16</v>
      </c>
      <c r="C14" t="s">
        <v>7</v>
      </c>
      <c r="D14">
        <v>6</v>
      </c>
      <c r="E14">
        <v>1</v>
      </c>
      <c r="F14">
        <v>0</v>
      </c>
      <c r="G14">
        <f t="shared" si="3"/>
        <v>0.8571428571428571</v>
      </c>
      <c r="H14">
        <f t="shared" si="4"/>
        <v>1</v>
      </c>
      <c r="I14">
        <f t="shared" si="2"/>
        <v>0.92307692307692302</v>
      </c>
    </row>
    <row r="15" spans="1:9" x14ac:dyDescent="0.45">
      <c r="A15" t="s">
        <v>32</v>
      </c>
      <c r="B15" t="s">
        <v>16</v>
      </c>
      <c r="C15" t="s">
        <v>8</v>
      </c>
      <c r="D15">
        <v>6</v>
      </c>
      <c r="E15">
        <v>3</v>
      </c>
      <c r="F15">
        <v>0</v>
      </c>
      <c r="G15">
        <f>D15/(D15+E15)</f>
        <v>0.66666666666666663</v>
      </c>
      <c r="H15">
        <f>D15/(D15+F15)</f>
        <v>1</v>
      </c>
      <c r="I15">
        <f t="shared" si="2"/>
        <v>0.8</v>
      </c>
    </row>
    <row r="16" spans="1:9" x14ac:dyDescent="0.45">
      <c r="A16" t="s">
        <v>32</v>
      </c>
      <c r="B16" t="s">
        <v>16</v>
      </c>
      <c r="C16" t="s">
        <v>9</v>
      </c>
      <c r="D16">
        <v>7</v>
      </c>
      <c r="E16">
        <v>2</v>
      </c>
      <c r="F16">
        <v>3</v>
      </c>
      <c r="G16">
        <f t="shared" ref="G16:G18" si="5">D16/(D16+E16)</f>
        <v>0.77777777777777779</v>
      </c>
      <c r="H16">
        <f t="shared" ref="H16:H18" si="6">D16/(D16+F16)</f>
        <v>0.7</v>
      </c>
      <c r="I16">
        <f t="shared" si="2"/>
        <v>0.73684210526315774</v>
      </c>
    </row>
    <row r="17" spans="1:15" x14ac:dyDescent="0.45">
      <c r="A17" t="s">
        <v>32</v>
      </c>
      <c r="B17" t="s">
        <v>16</v>
      </c>
      <c r="C17" t="s">
        <v>10</v>
      </c>
      <c r="D17">
        <v>7</v>
      </c>
      <c r="E17">
        <v>4</v>
      </c>
      <c r="F17">
        <v>0</v>
      </c>
      <c r="G17">
        <f t="shared" si="5"/>
        <v>0.63636363636363635</v>
      </c>
      <c r="H17">
        <f t="shared" si="6"/>
        <v>1</v>
      </c>
      <c r="I17">
        <f t="shared" si="2"/>
        <v>0.77777777777777779</v>
      </c>
    </row>
    <row r="18" spans="1:15" x14ac:dyDescent="0.45">
      <c r="A18" t="s">
        <v>17</v>
      </c>
      <c r="B18" t="s">
        <v>13</v>
      </c>
      <c r="C18" t="s">
        <v>7</v>
      </c>
      <c r="D18">
        <v>6</v>
      </c>
      <c r="E18">
        <v>2</v>
      </c>
      <c r="F18">
        <v>0</v>
      </c>
      <c r="G18">
        <f t="shared" si="5"/>
        <v>0.75</v>
      </c>
      <c r="H18">
        <f t="shared" si="6"/>
        <v>1</v>
      </c>
      <c r="I18">
        <f t="shared" si="2"/>
        <v>0.8571428571428571</v>
      </c>
    </row>
    <row r="19" spans="1:15" x14ac:dyDescent="0.45">
      <c r="A19" t="s">
        <v>17</v>
      </c>
      <c r="B19" t="s">
        <v>13</v>
      </c>
      <c r="C19" t="s">
        <v>8</v>
      </c>
      <c r="D19">
        <v>6</v>
      </c>
      <c r="E19">
        <v>3</v>
      </c>
      <c r="F19">
        <v>1</v>
      </c>
      <c r="G19">
        <f>D19/(D19+E19)</f>
        <v>0.66666666666666663</v>
      </c>
      <c r="H19">
        <f>D19/(D19+F19)</f>
        <v>0.8571428571428571</v>
      </c>
      <c r="I19">
        <f t="shared" si="2"/>
        <v>0.75</v>
      </c>
    </row>
    <row r="20" spans="1:15" x14ac:dyDescent="0.45">
      <c r="A20" t="s">
        <v>17</v>
      </c>
      <c r="B20" t="s">
        <v>13</v>
      </c>
      <c r="C20" t="s">
        <v>9</v>
      </c>
      <c r="D20">
        <v>5</v>
      </c>
      <c r="E20">
        <v>3</v>
      </c>
      <c r="F20">
        <v>5</v>
      </c>
      <c r="G20">
        <f t="shared" ref="G20:G22" si="7">D20/(D20+E20)</f>
        <v>0.625</v>
      </c>
      <c r="H20">
        <f t="shared" ref="H20:H22" si="8">D20/(D20+F20)</f>
        <v>0.5</v>
      </c>
      <c r="I20">
        <f t="shared" si="2"/>
        <v>0.55555555555555558</v>
      </c>
    </row>
    <row r="21" spans="1:15" x14ac:dyDescent="0.45">
      <c r="A21" t="s">
        <v>17</v>
      </c>
      <c r="B21" t="s">
        <v>13</v>
      </c>
      <c r="C21" t="s">
        <v>10</v>
      </c>
      <c r="D21">
        <v>5</v>
      </c>
      <c r="E21">
        <v>3</v>
      </c>
      <c r="F21">
        <v>2</v>
      </c>
      <c r="G21">
        <f t="shared" si="7"/>
        <v>0.625</v>
      </c>
      <c r="H21">
        <f t="shared" si="8"/>
        <v>0.7142857142857143</v>
      </c>
      <c r="I21">
        <f t="shared" si="2"/>
        <v>0.66666666666666663</v>
      </c>
    </row>
    <row r="22" spans="1:15" x14ac:dyDescent="0.45">
      <c r="A22" t="s">
        <v>17</v>
      </c>
      <c r="B22" t="s">
        <v>16</v>
      </c>
      <c r="C22" t="s">
        <v>7</v>
      </c>
      <c r="D22">
        <v>6</v>
      </c>
      <c r="E22">
        <v>2</v>
      </c>
      <c r="F22">
        <v>0</v>
      </c>
      <c r="G22">
        <f t="shared" si="7"/>
        <v>0.75</v>
      </c>
      <c r="H22">
        <f t="shared" si="8"/>
        <v>1</v>
      </c>
      <c r="I22">
        <f t="shared" si="2"/>
        <v>0.8571428571428571</v>
      </c>
    </row>
    <row r="23" spans="1:15" x14ac:dyDescent="0.45">
      <c r="A23" t="s">
        <v>17</v>
      </c>
      <c r="B23" t="s">
        <v>16</v>
      </c>
      <c r="C23" t="s">
        <v>8</v>
      </c>
      <c r="D23">
        <v>6</v>
      </c>
      <c r="E23">
        <v>3</v>
      </c>
      <c r="F23">
        <v>1</v>
      </c>
      <c r="G23">
        <f>D23/(D23+E23)</f>
        <v>0.66666666666666663</v>
      </c>
      <c r="H23">
        <f>D23/(D23+F23)</f>
        <v>0.8571428571428571</v>
      </c>
      <c r="I23">
        <f t="shared" si="2"/>
        <v>0.75</v>
      </c>
    </row>
    <row r="24" spans="1:15" x14ac:dyDescent="0.45">
      <c r="A24" t="s">
        <v>17</v>
      </c>
      <c r="B24" t="s">
        <v>16</v>
      </c>
      <c r="C24" t="s">
        <v>9</v>
      </c>
      <c r="D24">
        <v>7</v>
      </c>
      <c r="E24">
        <v>6</v>
      </c>
      <c r="F24">
        <v>3</v>
      </c>
      <c r="G24">
        <f t="shared" ref="G24:G26" si="9">D24/(D24+E24)</f>
        <v>0.53846153846153844</v>
      </c>
      <c r="H24">
        <f t="shared" ref="H24:H26" si="10">D24/(D24+F24)</f>
        <v>0.7</v>
      </c>
      <c r="I24">
        <f t="shared" si="2"/>
        <v>0.60869565217391297</v>
      </c>
    </row>
    <row r="25" spans="1:15" x14ac:dyDescent="0.45">
      <c r="A25" t="s">
        <v>17</v>
      </c>
      <c r="B25" t="s">
        <v>16</v>
      </c>
      <c r="C25" t="s">
        <v>10</v>
      </c>
      <c r="D25">
        <v>3</v>
      </c>
      <c r="E25">
        <v>4</v>
      </c>
      <c r="F25">
        <v>4</v>
      </c>
      <c r="G25">
        <f t="shared" si="9"/>
        <v>0.42857142857142855</v>
      </c>
      <c r="H25">
        <f t="shared" si="10"/>
        <v>0.42857142857142855</v>
      </c>
      <c r="I25">
        <f t="shared" si="2"/>
        <v>0.42857142857142855</v>
      </c>
      <c r="N25" s="5"/>
      <c r="O25" s="5"/>
    </row>
    <row r="26" spans="1:15" x14ac:dyDescent="0.45">
      <c r="A26" t="s">
        <v>18</v>
      </c>
      <c r="B26" t="s">
        <v>13</v>
      </c>
      <c r="C26" t="s">
        <v>7</v>
      </c>
      <c r="D26">
        <v>6</v>
      </c>
      <c r="E26">
        <v>2</v>
      </c>
      <c r="F26">
        <v>0</v>
      </c>
      <c r="G26">
        <f t="shared" si="9"/>
        <v>0.75</v>
      </c>
      <c r="H26">
        <f t="shared" si="10"/>
        <v>1</v>
      </c>
      <c r="I26">
        <f t="shared" si="2"/>
        <v>0.8571428571428571</v>
      </c>
      <c r="N26" s="5"/>
      <c r="O26" s="5"/>
    </row>
    <row r="27" spans="1:15" x14ac:dyDescent="0.45">
      <c r="A27" t="s">
        <v>18</v>
      </c>
      <c r="B27" t="s">
        <v>13</v>
      </c>
      <c r="C27" t="s">
        <v>8</v>
      </c>
      <c r="D27">
        <v>6</v>
      </c>
      <c r="E27">
        <v>3</v>
      </c>
      <c r="F27">
        <v>1</v>
      </c>
      <c r="G27">
        <f>D27/(D27+E27)</f>
        <v>0.66666666666666663</v>
      </c>
      <c r="H27">
        <f>D27/(D27+F27)</f>
        <v>0.8571428571428571</v>
      </c>
      <c r="I27">
        <f t="shared" si="2"/>
        <v>0.75</v>
      </c>
      <c r="N27" s="5"/>
      <c r="O27" s="5"/>
    </row>
    <row r="28" spans="1:15" x14ac:dyDescent="0.45">
      <c r="A28" t="s">
        <v>18</v>
      </c>
      <c r="B28" t="s">
        <v>13</v>
      </c>
      <c r="C28" t="s">
        <v>9</v>
      </c>
      <c r="D28">
        <v>5</v>
      </c>
      <c r="E28">
        <v>6</v>
      </c>
      <c r="F28">
        <v>5</v>
      </c>
      <c r="G28">
        <f t="shared" ref="G28:G30" si="11">D28/(D28+E28)</f>
        <v>0.45454545454545453</v>
      </c>
      <c r="H28">
        <f t="shared" ref="H28:H30" si="12">D28/(D28+F28)</f>
        <v>0.5</v>
      </c>
      <c r="I28">
        <f t="shared" si="2"/>
        <v>0.47619047619047616</v>
      </c>
      <c r="N28" s="5"/>
      <c r="O28" s="5"/>
    </row>
    <row r="29" spans="1:15" x14ac:dyDescent="0.45">
      <c r="A29" t="s">
        <v>18</v>
      </c>
      <c r="B29" t="s">
        <v>13</v>
      </c>
      <c r="C29" t="s">
        <v>10</v>
      </c>
      <c r="D29">
        <v>5</v>
      </c>
      <c r="E29">
        <v>2</v>
      </c>
      <c r="F29">
        <v>2</v>
      </c>
      <c r="G29">
        <f t="shared" si="11"/>
        <v>0.7142857142857143</v>
      </c>
      <c r="H29">
        <f t="shared" si="12"/>
        <v>0.7142857142857143</v>
      </c>
      <c r="I29">
        <f t="shared" si="2"/>
        <v>0.7142857142857143</v>
      </c>
      <c r="N29" s="5"/>
      <c r="O29" s="5"/>
    </row>
    <row r="30" spans="1:15" x14ac:dyDescent="0.45">
      <c r="A30" t="s">
        <v>18</v>
      </c>
      <c r="B30" t="s">
        <v>16</v>
      </c>
      <c r="C30" t="s">
        <v>7</v>
      </c>
      <c r="D30">
        <v>6</v>
      </c>
      <c r="E30">
        <v>2</v>
      </c>
      <c r="F30">
        <v>0</v>
      </c>
      <c r="G30">
        <f t="shared" si="11"/>
        <v>0.75</v>
      </c>
      <c r="H30">
        <f t="shared" si="12"/>
        <v>1</v>
      </c>
      <c r="I30">
        <f t="shared" si="2"/>
        <v>0.8571428571428571</v>
      </c>
    </row>
    <row r="31" spans="1:15" x14ac:dyDescent="0.45">
      <c r="A31" t="s">
        <v>18</v>
      </c>
      <c r="B31" t="s">
        <v>16</v>
      </c>
      <c r="C31" t="s">
        <v>8</v>
      </c>
      <c r="D31">
        <v>6</v>
      </c>
      <c r="E31">
        <v>3</v>
      </c>
      <c r="F31">
        <v>1</v>
      </c>
      <c r="G31">
        <f>D31/(D31+E31)</f>
        <v>0.66666666666666663</v>
      </c>
      <c r="H31">
        <f>D31/(D31+F31)</f>
        <v>0.8571428571428571</v>
      </c>
      <c r="I31">
        <f t="shared" si="2"/>
        <v>0.75</v>
      </c>
    </row>
    <row r="32" spans="1:15" x14ac:dyDescent="0.45">
      <c r="A32" t="s">
        <v>18</v>
      </c>
      <c r="B32" t="s">
        <v>16</v>
      </c>
      <c r="C32" t="s">
        <v>9</v>
      </c>
      <c r="D32">
        <v>4</v>
      </c>
      <c r="E32">
        <v>0</v>
      </c>
      <c r="F32">
        <v>6</v>
      </c>
      <c r="G32">
        <f t="shared" ref="G32:G50" si="13">D32/(D32+E32)</f>
        <v>1</v>
      </c>
      <c r="H32">
        <f t="shared" ref="H32:H50" si="14">D32/(D32+F32)</f>
        <v>0.4</v>
      </c>
      <c r="I32">
        <f t="shared" si="2"/>
        <v>0.57142857142857151</v>
      </c>
    </row>
    <row r="33" spans="1:9" x14ac:dyDescent="0.45">
      <c r="A33" t="s">
        <v>18</v>
      </c>
      <c r="B33" t="s">
        <v>16</v>
      </c>
      <c r="C33" t="s">
        <v>10</v>
      </c>
      <c r="D33">
        <v>3</v>
      </c>
      <c r="E33">
        <v>2</v>
      </c>
      <c r="F33">
        <v>4</v>
      </c>
      <c r="G33">
        <f t="shared" si="13"/>
        <v>0.6</v>
      </c>
      <c r="H33">
        <f t="shared" si="14"/>
        <v>0.42857142857142855</v>
      </c>
      <c r="I33">
        <f t="shared" si="2"/>
        <v>0.5</v>
      </c>
    </row>
    <row r="34" spans="1:9" x14ac:dyDescent="0.45">
      <c r="A34" t="s">
        <v>33</v>
      </c>
      <c r="B34" t="s">
        <v>13</v>
      </c>
      <c r="C34" t="s">
        <v>7</v>
      </c>
      <c r="D34">
        <v>6</v>
      </c>
      <c r="E34">
        <v>1</v>
      </c>
      <c r="F34">
        <v>0</v>
      </c>
      <c r="G34">
        <f t="shared" si="13"/>
        <v>0.8571428571428571</v>
      </c>
      <c r="H34">
        <f t="shared" si="14"/>
        <v>1</v>
      </c>
      <c r="I34">
        <f t="shared" si="2"/>
        <v>0.92307692307692302</v>
      </c>
    </row>
    <row r="35" spans="1:9" x14ac:dyDescent="0.45">
      <c r="A35" t="s">
        <v>33</v>
      </c>
      <c r="B35" t="s">
        <v>13</v>
      </c>
      <c r="C35" t="s">
        <v>8</v>
      </c>
      <c r="D35">
        <v>6</v>
      </c>
      <c r="E35">
        <v>2</v>
      </c>
      <c r="F35">
        <v>1</v>
      </c>
      <c r="G35">
        <f t="shared" si="13"/>
        <v>0.75</v>
      </c>
      <c r="H35">
        <f t="shared" si="14"/>
        <v>0.8571428571428571</v>
      </c>
      <c r="I35">
        <f t="shared" si="2"/>
        <v>0.79999999999999993</v>
      </c>
    </row>
    <row r="36" spans="1:9" x14ac:dyDescent="0.45">
      <c r="A36" t="s">
        <v>33</v>
      </c>
      <c r="B36" t="s">
        <v>13</v>
      </c>
      <c r="C36" t="s">
        <v>9</v>
      </c>
      <c r="D36">
        <v>7</v>
      </c>
      <c r="E36">
        <v>2</v>
      </c>
      <c r="F36">
        <v>3</v>
      </c>
      <c r="G36">
        <f t="shared" si="13"/>
        <v>0.77777777777777779</v>
      </c>
      <c r="H36">
        <f t="shared" si="14"/>
        <v>0.7</v>
      </c>
      <c r="I36">
        <f t="shared" si="2"/>
        <v>0.73684210526315774</v>
      </c>
    </row>
    <row r="37" spans="1:9" x14ac:dyDescent="0.45">
      <c r="A37" t="s">
        <v>33</v>
      </c>
      <c r="B37" t="s">
        <v>13</v>
      </c>
      <c r="C37" t="s">
        <v>10</v>
      </c>
      <c r="D37">
        <v>3</v>
      </c>
      <c r="E37">
        <v>1</v>
      </c>
      <c r="F37">
        <v>4</v>
      </c>
      <c r="G37">
        <f t="shared" si="13"/>
        <v>0.75</v>
      </c>
      <c r="H37">
        <f t="shared" si="14"/>
        <v>0.42857142857142855</v>
      </c>
      <c r="I37">
        <f t="shared" si="2"/>
        <v>0.54545454545454541</v>
      </c>
    </row>
    <row r="38" spans="1:9" x14ac:dyDescent="0.45">
      <c r="A38" t="s">
        <v>33</v>
      </c>
      <c r="B38" t="s">
        <v>16</v>
      </c>
      <c r="C38" t="s">
        <v>7</v>
      </c>
      <c r="D38">
        <v>6</v>
      </c>
      <c r="E38">
        <v>1</v>
      </c>
      <c r="F38">
        <v>0</v>
      </c>
      <c r="G38">
        <f t="shared" si="13"/>
        <v>0.8571428571428571</v>
      </c>
      <c r="H38">
        <f t="shared" si="14"/>
        <v>1</v>
      </c>
      <c r="I38">
        <f t="shared" si="2"/>
        <v>0.92307692307692302</v>
      </c>
    </row>
    <row r="39" spans="1:9" x14ac:dyDescent="0.45">
      <c r="A39" t="s">
        <v>33</v>
      </c>
      <c r="B39" t="s">
        <v>16</v>
      </c>
      <c r="C39" t="s">
        <v>8</v>
      </c>
      <c r="D39">
        <v>6</v>
      </c>
      <c r="E39">
        <v>3</v>
      </c>
      <c r="F39">
        <v>1</v>
      </c>
      <c r="G39">
        <f t="shared" si="13"/>
        <v>0.66666666666666663</v>
      </c>
      <c r="H39">
        <f t="shared" si="14"/>
        <v>0.8571428571428571</v>
      </c>
      <c r="I39">
        <f t="shared" si="2"/>
        <v>0.75</v>
      </c>
    </row>
    <row r="40" spans="1:9" x14ac:dyDescent="0.45">
      <c r="A40" t="s">
        <v>33</v>
      </c>
      <c r="B40" t="s">
        <v>16</v>
      </c>
      <c r="C40" t="s">
        <v>9</v>
      </c>
      <c r="D40">
        <v>4</v>
      </c>
      <c r="E40">
        <v>1</v>
      </c>
      <c r="F40">
        <v>6</v>
      </c>
      <c r="G40">
        <f t="shared" si="13"/>
        <v>0.8</v>
      </c>
      <c r="H40">
        <f t="shared" si="14"/>
        <v>0.4</v>
      </c>
      <c r="I40">
        <f t="shared" si="2"/>
        <v>0.53333333333333333</v>
      </c>
    </row>
    <row r="41" spans="1:9" x14ac:dyDescent="0.45">
      <c r="A41" t="s">
        <v>33</v>
      </c>
      <c r="B41" t="s">
        <v>16</v>
      </c>
      <c r="C41" t="s">
        <v>10</v>
      </c>
      <c r="D41">
        <v>3</v>
      </c>
      <c r="E41">
        <v>4</v>
      </c>
      <c r="F41">
        <v>4</v>
      </c>
      <c r="G41">
        <f t="shared" si="13"/>
        <v>0.42857142857142855</v>
      </c>
      <c r="H41">
        <f t="shared" si="14"/>
        <v>0.42857142857142855</v>
      </c>
      <c r="I41">
        <f t="shared" si="2"/>
        <v>0.42857142857142855</v>
      </c>
    </row>
    <row r="42" spans="1:9" x14ac:dyDescent="0.45">
      <c r="A42" t="s">
        <v>39</v>
      </c>
      <c r="B42" t="s">
        <v>41</v>
      </c>
      <c r="C42" t="s">
        <v>7</v>
      </c>
      <c r="D42">
        <v>6</v>
      </c>
      <c r="E42">
        <v>0</v>
      </c>
      <c r="F42">
        <v>0</v>
      </c>
      <c r="G42">
        <f t="shared" si="13"/>
        <v>1</v>
      </c>
      <c r="H42">
        <f t="shared" si="14"/>
        <v>1</v>
      </c>
      <c r="I42">
        <f t="shared" si="2"/>
        <v>1</v>
      </c>
    </row>
    <row r="43" spans="1:9" x14ac:dyDescent="0.45">
      <c r="A43" t="s">
        <v>39</v>
      </c>
      <c r="B43" t="s">
        <v>41</v>
      </c>
      <c r="C43" t="s">
        <v>8</v>
      </c>
      <c r="D43">
        <v>7</v>
      </c>
      <c r="E43">
        <v>0</v>
      </c>
      <c r="F43">
        <v>0</v>
      </c>
      <c r="G43">
        <f t="shared" si="13"/>
        <v>1</v>
      </c>
      <c r="H43">
        <f t="shared" si="14"/>
        <v>1</v>
      </c>
      <c r="I43">
        <f t="shared" si="2"/>
        <v>1</v>
      </c>
    </row>
    <row r="44" spans="1:9" x14ac:dyDescent="0.45">
      <c r="A44" t="s">
        <v>39</v>
      </c>
      <c r="B44" t="s">
        <v>41</v>
      </c>
      <c r="C44" t="s">
        <v>9</v>
      </c>
      <c r="D44">
        <v>5</v>
      </c>
      <c r="E44">
        <v>0</v>
      </c>
      <c r="F44">
        <v>5</v>
      </c>
      <c r="G44">
        <f t="shared" si="13"/>
        <v>1</v>
      </c>
      <c r="H44">
        <f t="shared" si="14"/>
        <v>0.5</v>
      </c>
      <c r="I44">
        <f>2*G44*H44/(G44+H44)</f>
        <v>0.66666666666666663</v>
      </c>
    </row>
    <row r="45" spans="1:9" x14ac:dyDescent="0.45">
      <c r="A45" t="s">
        <v>39</v>
      </c>
      <c r="B45" t="s">
        <v>41</v>
      </c>
      <c r="C45" t="s">
        <v>10</v>
      </c>
      <c r="D45">
        <v>7</v>
      </c>
      <c r="E45">
        <v>0</v>
      </c>
      <c r="F45">
        <v>0</v>
      </c>
      <c r="G45">
        <f t="shared" si="13"/>
        <v>1</v>
      </c>
      <c r="H45">
        <f t="shared" si="14"/>
        <v>1</v>
      </c>
      <c r="I45">
        <f t="shared" si="2"/>
        <v>1</v>
      </c>
    </row>
    <row r="46" spans="1:9" x14ac:dyDescent="0.45">
      <c r="A46" t="s">
        <v>11</v>
      </c>
      <c r="B46" t="s">
        <v>81</v>
      </c>
      <c r="C46" t="s">
        <v>7</v>
      </c>
      <c r="D46">
        <v>6</v>
      </c>
      <c r="E46">
        <v>5</v>
      </c>
      <c r="F46">
        <v>0</v>
      </c>
      <c r="G46">
        <f t="shared" si="13"/>
        <v>0.54545454545454541</v>
      </c>
      <c r="H46">
        <f t="shared" si="14"/>
        <v>1</v>
      </c>
      <c r="I46">
        <f t="shared" si="2"/>
        <v>0.70588235294117641</v>
      </c>
    </row>
    <row r="47" spans="1:9" x14ac:dyDescent="0.45">
      <c r="A47" t="s">
        <v>11</v>
      </c>
      <c r="B47" t="s">
        <v>81</v>
      </c>
      <c r="C47" t="s">
        <v>8</v>
      </c>
      <c r="D47">
        <v>7</v>
      </c>
      <c r="E47">
        <v>6</v>
      </c>
      <c r="F47">
        <v>0</v>
      </c>
      <c r="G47">
        <f t="shared" si="13"/>
        <v>0.53846153846153844</v>
      </c>
      <c r="H47">
        <f t="shared" si="14"/>
        <v>1</v>
      </c>
      <c r="I47">
        <f t="shared" si="2"/>
        <v>0.70000000000000007</v>
      </c>
    </row>
    <row r="48" spans="1:9" x14ac:dyDescent="0.45">
      <c r="A48" t="s">
        <v>11</v>
      </c>
      <c r="B48" t="s">
        <v>81</v>
      </c>
      <c r="C48" t="s">
        <v>9</v>
      </c>
      <c r="D48">
        <v>6</v>
      </c>
      <c r="E48">
        <v>10</v>
      </c>
      <c r="F48">
        <v>4</v>
      </c>
      <c r="G48">
        <f t="shared" si="13"/>
        <v>0.375</v>
      </c>
      <c r="H48">
        <f t="shared" si="14"/>
        <v>0.6</v>
      </c>
      <c r="I48">
        <f t="shared" si="2"/>
        <v>0.46153846153846151</v>
      </c>
    </row>
    <row r="49" spans="1:9" x14ac:dyDescent="0.45">
      <c r="A49" t="s">
        <v>11</v>
      </c>
      <c r="B49" t="s">
        <v>81</v>
      </c>
      <c r="C49" t="s">
        <v>10</v>
      </c>
      <c r="D49">
        <v>7</v>
      </c>
      <c r="E49">
        <v>21</v>
      </c>
      <c r="F49">
        <v>0</v>
      </c>
      <c r="G49">
        <f t="shared" si="13"/>
        <v>0.25</v>
      </c>
      <c r="H49">
        <f t="shared" si="14"/>
        <v>1</v>
      </c>
      <c r="I49">
        <f t="shared" si="2"/>
        <v>0.4</v>
      </c>
    </row>
    <row r="50" spans="1:9" x14ac:dyDescent="0.45">
      <c r="A50" t="s">
        <v>95</v>
      </c>
      <c r="B50" t="s">
        <v>81</v>
      </c>
      <c r="C50" t="s">
        <v>7</v>
      </c>
      <c r="D50">
        <v>6</v>
      </c>
      <c r="E50">
        <v>1</v>
      </c>
      <c r="F50">
        <v>0</v>
      </c>
      <c r="G50">
        <f t="shared" si="13"/>
        <v>0.8571428571428571</v>
      </c>
      <c r="H50">
        <f t="shared" si="14"/>
        <v>1</v>
      </c>
      <c r="I50">
        <f t="shared" ref="I50:I53" si="15">2*G50*H50/(G50+H50)</f>
        <v>0.92307692307692302</v>
      </c>
    </row>
    <row r="51" spans="1:9" x14ac:dyDescent="0.45">
      <c r="A51" t="s">
        <v>95</v>
      </c>
      <c r="B51" t="s">
        <v>81</v>
      </c>
      <c r="C51" t="s">
        <v>8</v>
      </c>
      <c r="D51">
        <v>7</v>
      </c>
      <c r="E51">
        <v>3</v>
      </c>
      <c r="F51">
        <v>0</v>
      </c>
      <c r="G51">
        <f>D51/(D51+E51)</f>
        <v>0.7</v>
      </c>
      <c r="H51">
        <f>D51/(D51+F51)</f>
        <v>1</v>
      </c>
      <c r="I51">
        <f t="shared" si="15"/>
        <v>0.82352941176470584</v>
      </c>
    </row>
    <row r="52" spans="1:9" x14ac:dyDescent="0.45">
      <c r="A52" t="s">
        <v>95</v>
      </c>
      <c r="B52" t="s">
        <v>81</v>
      </c>
      <c r="C52" t="s">
        <v>9</v>
      </c>
      <c r="D52">
        <v>7</v>
      </c>
      <c r="E52">
        <v>1</v>
      </c>
      <c r="F52">
        <v>3</v>
      </c>
      <c r="G52">
        <f t="shared" ref="G52:G54" si="16">D52/(D52+E52)</f>
        <v>0.875</v>
      </c>
      <c r="H52">
        <f t="shared" ref="H52:H54" si="17">D52/(D52+F52)</f>
        <v>0.7</v>
      </c>
      <c r="I52">
        <f t="shared" si="15"/>
        <v>0.77777777777777768</v>
      </c>
    </row>
    <row r="53" spans="1:9" x14ac:dyDescent="0.45">
      <c r="A53" t="s">
        <v>95</v>
      </c>
      <c r="B53" t="s">
        <v>81</v>
      </c>
      <c r="C53" t="s">
        <v>10</v>
      </c>
      <c r="D53">
        <v>3</v>
      </c>
      <c r="E53">
        <v>4</v>
      </c>
      <c r="F53">
        <v>4</v>
      </c>
      <c r="G53">
        <f t="shared" si="16"/>
        <v>0.42857142857142855</v>
      </c>
      <c r="H53">
        <f t="shared" si="17"/>
        <v>0.42857142857142855</v>
      </c>
      <c r="I53">
        <f t="shared" si="15"/>
        <v>0.42857142857142855</v>
      </c>
    </row>
    <row r="54" spans="1:9" x14ac:dyDescent="0.45">
      <c r="A54" t="s">
        <v>18</v>
      </c>
      <c r="B54" t="s">
        <v>81</v>
      </c>
      <c r="C54" t="s">
        <v>7</v>
      </c>
      <c r="D54">
        <v>6</v>
      </c>
      <c r="E54">
        <v>6</v>
      </c>
      <c r="F54">
        <v>0</v>
      </c>
      <c r="G54">
        <f t="shared" si="16"/>
        <v>0.5</v>
      </c>
      <c r="H54">
        <f t="shared" si="17"/>
        <v>1</v>
      </c>
      <c r="I54">
        <f t="shared" ref="I54:I57" si="18">2*G54*H54/(G54+H54)</f>
        <v>0.66666666666666663</v>
      </c>
    </row>
    <row r="55" spans="1:9" x14ac:dyDescent="0.45">
      <c r="A55" t="s">
        <v>18</v>
      </c>
      <c r="B55" t="s">
        <v>81</v>
      </c>
      <c r="C55" t="s">
        <v>8</v>
      </c>
      <c r="D55">
        <v>5</v>
      </c>
      <c r="E55">
        <v>6</v>
      </c>
      <c r="F55">
        <v>2</v>
      </c>
      <c r="G55">
        <f>D55/(D55+E55)</f>
        <v>0.45454545454545453</v>
      </c>
      <c r="H55">
        <f>D55/(D55+F55)</f>
        <v>0.7142857142857143</v>
      </c>
      <c r="I55">
        <f t="shared" si="18"/>
        <v>0.55555555555555558</v>
      </c>
    </row>
    <row r="56" spans="1:9" x14ac:dyDescent="0.45">
      <c r="A56" t="s">
        <v>18</v>
      </c>
      <c r="B56" t="s">
        <v>81</v>
      </c>
      <c r="C56" t="s">
        <v>9</v>
      </c>
      <c r="D56">
        <v>4</v>
      </c>
      <c r="E56">
        <v>6</v>
      </c>
      <c r="F56">
        <v>6</v>
      </c>
      <c r="G56">
        <f t="shared" ref="G56:G58" si="19">D56/(D56+E56)</f>
        <v>0.4</v>
      </c>
      <c r="H56">
        <f t="shared" ref="H56:H58" si="20">D56/(D56+F56)</f>
        <v>0.4</v>
      </c>
      <c r="I56">
        <f t="shared" si="18"/>
        <v>0.40000000000000008</v>
      </c>
    </row>
    <row r="57" spans="1:9" x14ac:dyDescent="0.45">
      <c r="A57" t="s">
        <v>18</v>
      </c>
      <c r="B57" t="s">
        <v>81</v>
      </c>
      <c r="C57" t="s">
        <v>10</v>
      </c>
      <c r="D57">
        <v>7</v>
      </c>
      <c r="E57">
        <v>6</v>
      </c>
      <c r="F57">
        <v>0</v>
      </c>
      <c r="G57">
        <f t="shared" si="19"/>
        <v>0.53846153846153844</v>
      </c>
      <c r="H57">
        <f t="shared" si="20"/>
        <v>1</v>
      </c>
      <c r="I57">
        <f t="shared" si="18"/>
        <v>0.70000000000000007</v>
      </c>
    </row>
    <row r="58" spans="1:9" x14ac:dyDescent="0.45">
      <c r="A58" t="s">
        <v>17</v>
      </c>
      <c r="B58" t="s">
        <v>81</v>
      </c>
      <c r="C58" t="s">
        <v>7</v>
      </c>
      <c r="D58">
        <v>6</v>
      </c>
      <c r="E58">
        <v>4</v>
      </c>
      <c r="F58">
        <v>0</v>
      </c>
      <c r="G58">
        <f t="shared" si="19"/>
        <v>0.6</v>
      </c>
      <c r="H58">
        <f t="shared" si="20"/>
        <v>1</v>
      </c>
      <c r="I58">
        <f t="shared" ref="I58:I61" si="21">2*G58*H58/(G58+H58)</f>
        <v>0.74999999999999989</v>
      </c>
    </row>
    <row r="59" spans="1:9" x14ac:dyDescent="0.45">
      <c r="A59" t="s">
        <v>17</v>
      </c>
      <c r="B59" t="s">
        <v>81</v>
      </c>
      <c r="C59" t="s">
        <v>8</v>
      </c>
      <c r="D59">
        <v>6</v>
      </c>
      <c r="E59">
        <v>6</v>
      </c>
      <c r="F59">
        <v>1</v>
      </c>
      <c r="G59">
        <f>D59/(D59+E59)</f>
        <v>0.5</v>
      </c>
      <c r="H59">
        <f>D59/(D59+F59)</f>
        <v>0.8571428571428571</v>
      </c>
      <c r="I59">
        <f t="shared" si="21"/>
        <v>0.63157894736842102</v>
      </c>
    </row>
    <row r="60" spans="1:9" x14ac:dyDescent="0.45">
      <c r="A60" t="s">
        <v>17</v>
      </c>
      <c r="B60" t="s">
        <v>81</v>
      </c>
      <c r="C60" t="s">
        <v>9</v>
      </c>
      <c r="D60">
        <v>4</v>
      </c>
      <c r="E60">
        <v>4</v>
      </c>
      <c r="F60">
        <v>6</v>
      </c>
      <c r="G60">
        <f t="shared" ref="G60:G61" si="22">D60/(D60+E60)</f>
        <v>0.5</v>
      </c>
      <c r="H60">
        <f t="shared" ref="H60:H61" si="23">D60/(D60+F60)</f>
        <v>0.4</v>
      </c>
      <c r="I60">
        <f t="shared" si="21"/>
        <v>0.44444444444444448</v>
      </c>
    </row>
    <row r="61" spans="1:9" x14ac:dyDescent="0.45">
      <c r="A61" t="s">
        <v>17</v>
      </c>
      <c r="B61" t="s">
        <v>81</v>
      </c>
      <c r="C61" t="s">
        <v>10</v>
      </c>
      <c r="D61">
        <v>5</v>
      </c>
      <c r="E61">
        <v>8</v>
      </c>
      <c r="F61">
        <v>2</v>
      </c>
      <c r="G61">
        <f t="shared" si="22"/>
        <v>0.38461538461538464</v>
      </c>
      <c r="H61">
        <f t="shared" si="23"/>
        <v>0.7142857142857143</v>
      </c>
      <c r="I61">
        <f t="shared" si="21"/>
        <v>0.5</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8EC26-AA93-4520-AA46-61DCDC233918}">
  <dimension ref="A1:Q27"/>
  <sheetViews>
    <sheetView zoomScale="55" zoomScaleNormal="55" workbookViewId="0">
      <pane ySplit="1" topLeftCell="A2" activePane="bottomLeft" state="frozen"/>
      <selection activeCell="I61" sqref="A1:I61"/>
      <selection pane="bottomLeft" activeCell="I61" sqref="A1:I61"/>
    </sheetView>
  </sheetViews>
  <sheetFormatPr defaultRowHeight="14.25" x14ac:dyDescent="0.45"/>
  <cols>
    <col min="2" max="2" width="14.59765625" bestFit="1" customWidth="1"/>
    <col min="3" max="3" width="19" bestFit="1" customWidth="1"/>
    <col min="4" max="4" width="13.73046875" customWidth="1"/>
    <col min="5" max="5" width="19.73046875" bestFit="1" customWidth="1"/>
    <col min="6" max="6" width="15.19921875" bestFit="1" customWidth="1"/>
    <col min="7" max="7" width="37.33203125" customWidth="1"/>
    <col min="8" max="8" width="15.796875" bestFit="1" customWidth="1"/>
    <col min="9" max="9" width="34.59765625" customWidth="1"/>
    <col min="10" max="10" width="15.19921875" bestFit="1" customWidth="1"/>
    <col min="11" max="11" width="35.6640625" bestFit="1" customWidth="1"/>
    <col min="12" max="12" width="23.53125" bestFit="1" customWidth="1"/>
    <col min="13" max="13" width="28.06640625" bestFit="1" customWidth="1"/>
    <col min="14" max="14" width="23.19921875" bestFit="1" customWidth="1"/>
    <col min="15" max="15" width="9.86328125" customWidth="1"/>
    <col min="16" max="16" width="44.6640625" customWidth="1"/>
  </cols>
  <sheetData>
    <row r="1" spans="1:17" ht="49.9" customHeight="1" x14ac:dyDescent="0.45">
      <c r="A1" t="s">
        <v>34</v>
      </c>
      <c r="B1" t="s">
        <v>40</v>
      </c>
      <c r="C1" s="3" t="s">
        <v>34</v>
      </c>
      <c r="D1" s="3" t="s">
        <v>23</v>
      </c>
      <c r="E1" s="3" t="s">
        <v>24</v>
      </c>
      <c r="F1" s="3" t="s">
        <v>25</v>
      </c>
      <c r="G1" s="3" t="s">
        <v>63</v>
      </c>
      <c r="H1" s="3" t="s">
        <v>26</v>
      </c>
      <c r="I1" s="3" t="s">
        <v>64</v>
      </c>
      <c r="J1" s="3" t="s">
        <v>43</v>
      </c>
      <c r="K1" s="3" t="s">
        <v>28</v>
      </c>
      <c r="L1" s="3" t="s">
        <v>27</v>
      </c>
      <c r="M1" s="3" t="s">
        <v>29</v>
      </c>
      <c r="N1" s="3" t="s">
        <v>30</v>
      </c>
      <c r="O1" s="3" t="s">
        <v>31</v>
      </c>
      <c r="P1" s="3" t="s">
        <v>65</v>
      </c>
      <c r="Q1" s="3" t="s">
        <v>66</v>
      </c>
    </row>
    <row r="2" spans="1:17" ht="356.25" x14ac:dyDescent="0.45">
      <c r="B2" s="3" t="s">
        <v>47</v>
      </c>
      <c r="C2" s="3" t="s">
        <v>11</v>
      </c>
      <c r="D2" s="2">
        <v>0.8</v>
      </c>
      <c r="E2" s="2">
        <v>0.7</v>
      </c>
      <c r="F2" s="2">
        <f>(D2+E2)/2</f>
        <v>0.75</v>
      </c>
      <c r="G2" s="3" t="s">
        <v>44</v>
      </c>
      <c r="H2" s="4">
        <v>0.8</v>
      </c>
      <c r="I2" s="3" t="s">
        <v>45</v>
      </c>
      <c r="J2" s="2">
        <v>0.88</v>
      </c>
      <c r="K2" s="2">
        <v>0.85</v>
      </c>
      <c r="L2" s="2">
        <v>0.9</v>
      </c>
      <c r="M2" s="2">
        <v>0.8</v>
      </c>
      <c r="N2" s="2">
        <v>0.7</v>
      </c>
      <c r="O2" s="4">
        <f t="shared" ref="O2:O8" si="0">(L2+K2+M2+N2)/4</f>
        <v>0.8125</v>
      </c>
      <c r="P2" s="3" t="s">
        <v>46</v>
      </c>
      <c r="Q2" s="2">
        <v>0.48399999999999999</v>
      </c>
    </row>
    <row r="3" spans="1:17" ht="409.5" x14ac:dyDescent="0.45">
      <c r="B3" s="3" t="s">
        <v>47</v>
      </c>
      <c r="C3" s="3" t="s">
        <v>32</v>
      </c>
      <c r="D3" s="2">
        <v>0.8</v>
      </c>
      <c r="E3" s="2">
        <v>0.9</v>
      </c>
      <c r="F3" s="2">
        <f>(D3+E3)/2</f>
        <v>0.85000000000000009</v>
      </c>
      <c r="G3" s="3" t="s">
        <v>48</v>
      </c>
      <c r="H3" s="4">
        <v>0.85</v>
      </c>
      <c r="I3" s="3" t="s">
        <v>49</v>
      </c>
      <c r="J3" s="2">
        <v>0.83</v>
      </c>
      <c r="K3" s="2">
        <v>0.8</v>
      </c>
      <c r="L3" s="2">
        <v>0.7</v>
      </c>
      <c r="M3" s="2">
        <v>0.9</v>
      </c>
      <c r="N3" s="2">
        <v>0.85</v>
      </c>
      <c r="O3" s="4">
        <f t="shared" si="0"/>
        <v>0.8125</v>
      </c>
      <c r="P3" s="3" t="s">
        <v>50</v>
      </c>
      <c r="Q3" s="2">
        <v>0.33900000000000002</v>
      </c>
    </row>
    <row r="4" spans="1:17" ht="384.75" x14ac:dyDescent="0.45">
      <c r="B4" s="3" t="s">
        <v>47</v>
      </c>
      <c r="C4" s="3" t="s">
        <v>33</v>
      </c>
      <c r="D4" s="2">
        <v>0.8</v>
      </c>
      <c r="E4" s="2">
        <v>0.9</v>
      </c>
      <c r="F4" s="2">
        <f>(D4+E4)/2</f>
        <v>0.85000000000000009</v>
      </c>
      <c r="G4" s="3" t="s">
        <v>51</v>
      </c>
      <c r="H4" s="4">
        <v>0.7</v>
      </c>
      <c r="I4" s="3" t="s">
        <v>52</v>
      </c>
      <c r="J4" s="2">
        <v>0.86</v>
      </c>
      <c r="K4" s="2">
        <v>0.8</v>
      </c>
      <c r="L4" s="2">
        <v>0.7</v>
      </c>
      <c r="M4" s="2">
        <v>0.9</v>
      </c>
      <c r="N4" s="2">
        <v>0.6</v>
      </c>
      <c r="O4" s="4">
        <f t="shared" si="0"/>
        <v>0.75</v>
      </c>
      <c r="P4" s="3" t="s">
        <v>53</v>
      </c>
      <c r="Q4" s="2">
        <v>0.48699999999999999</v>
      </c>
    </row>
    <row r="5" spans="1:17" ht="409.5" x14ac:dyDescent="0.45">
      <c r="B5" s="3" t="s">
        <v>47</v>
      </c>
      <c r="C5" s="3" t="s">
        <v>17</v>
      </c>
      <c r="D5" s="2">
        <v>0.7</v>
      </c>
      <c r="E5" s="2">
        <v>0.8</v>
      </c>
      <c r="F5" s="2">
        <f t="shared" ref="F5:F16" si="1">(D5+E5)/2</f>
        <v>0.75</v>
      </c>
      <c r="G5" s="3" t="s">
        <v>54</v>
      </c>
      <c r="H5" s="4">
        <v>0.8</v>
      </c>
      <c r="I5" s="3" t="s">
        <v>55</v>
      </c>
      <c r="J5" s="2">
        <v>0.75</v>
      </c>
      <c r="K5" s="2">
        <v>0.8</v>
      </c>
      <c r="L5" s="2">
        <v>0.7</v>
      </c>
      <c r="M5" s="2">
        <v>0.9</v>
      </c>
      <c r="N5" s="2">
        <v>0.6</v>
      </c>
      <c r="O5" s="4">
        <f t="shared" si="0"/>
        <v>0.75</v>
      </c>
      <c r="P5" s="3" t="s">
        <v>56</v>
      </c>
      <c r="Q5" s="2">
        <v>0.60399999999999998</v>
      </c>
    </row>
    <row r="6" spans="1:17" ht="409.5" x14ac:dyDescent="0.45">
      <c r="B6" s="3" t="s">
        <v>47</v>
      </c>
      <c r="C6" s="3" t="s">
        <v>18</v>
      </c>
      <c r="D6" s="2">
        <v>0.8</v>
      </c>
      <c r="E6" s="2">
        <v>0.9</v>
      </c>
      <c r="F6" s="2">
        <f t="shared" si="1"/>
        <v>0.85000000000000009</v>
      </c>
      <c r="G6" s="3" t="s">
        <v>42</v>
      </c>
      <c r="H6" s="4">
        <v>0.8</v>
      </c>
      <c r="I6" s="3" t="s">
        <v>57</v>
      </c>
      <c r="J6" s="2">
        <v>0.64</v>
      </c>
      <c r="K6" s="2">
        <v>0.85</v>
      </c>
      <c r="L6" s="2">
        <v>0.9</v>
      </c>
      <c r="M6" s="2">
        <v>0.75</v>
      </c>
      <c r="N6" s="2">
        <v>0.8</v>
      </c>
      <c r="O6" s="4">
        <f t="shared" si="0"/>
        <v>0.82499999999999996</v>
      </c>
      <c r="P6" s="3" t="s">
        <v>58</v>
      </c>
      <c r="Q6" s="2">
        <v>0.443</v>
      </c>
    </row>
    <row r="7" spans="1:17" ht="199.5" x14ac:dyDescent="0.45">
      <c r="B7" s="3" t="s">
        <v>59</v>
      </c>
      <c r="C7" s="3" t="s">
        <v>39</v>
      </c>
      <c r="D7" s="2">
        <v>0.85</v>
      </c>
      <c r="E7" s="2">
        <v>0.7</v>
      </c>
      <c r="F7" s="2">
        <f t="shared" si="1"/>
        <v>0.77499999999999991</v>
      </c>
      <c r="G7" s="3" t="s">
        <v>60</v>
      </c>
      <c r="H7" s="4">
        <v>0.5</v>
      </c>
      <c r="I7" s="3" t="s">
        <v>61</v>
      </c>
      <c r="J7" s="2">
        <v>0.8</v>
      </c>
      <c r="K7" s="2">
        <v>0.8</v>
      </c>
      <c r="L7" s="2">
        <v>0.9</v>
      </c>
      <c r="M7" s="2">
        <v>0.7</v>
      </c>
      <c r="N7" s="2">
        <v>0.6</v>
      </c>
      <c r="O7" s="4">
        <f t="shared" si="0"/>
        <v>0.75000000000000011</v>
      </c>
      <c r="P7" s="3" t="s">
        <v>62</v>
      </c>
      <c r="Q7" s="2">
        <v>0.46</v>
      </c>
    </row>
    <row r="8" spans="1:17" ht="409.5" x14ac:dyDescent="0.45">
      <c r="B8" s="3" t="s">
        <v>16</v>
      </c>
      <c r="C8" s="3" t="s">
        <v>11</v>
      </c>
      <c r="D8" s="2">
        <v>0.85</v>
      </c>
      <c r="E8" s="2">
        <v>0.75</v>
      </c>
      <c r="F8" s="2">
        <f t="shared" si="1"/>
        <v>0.8</v>
      </c>
      <c r="G8" s="3" t="s">
        <v>67</v>
      </c>
      <c r="H8" s="4">
        <v>0.7</v>
      </c>
      <c r="I8" s="3" t="s">
        <v>68</v>
      </c>
      <c r="J8" s="2">
        <v>0.88</v>
      </c>
      <c r="K8" s="2">
        <v>0.85</v>
      </c>
      <c r="L8" s="2">
        <v>0.9</v>
      </c>
      <c r="M8" s="2">
        <v>0.95</v>
      </c>
      <c r="N8" s="2">
        <v>0.9</v>
      </c>
      <c r="O8" s="4">
        <f t="shared" si="0"/>
        <v>0.9</v>
      </c>
      <c r="P8" s="3" t="s">
        <v>69</v>
      </c>
      <c r="Q8" s="2">
        <v>0.51500000000000001</v>
      </c>
    </row>
    <row r="9" spans="1:17" ht="409.5" x14ac:dyDescent="0.45">
      <c r="B9" s="3" t="s">
        <v>16</v>
      </c>
      <c r="C9" s="3" t="s">
        <v>32</v>
      </c>
      <c r="D9" s="2">
        <v>0.8</v>
      </c>
      <c r="E9" s="2">
        <v>0.6</v>
      </c>
      <c r="F9" s="2">
        <f t="shared" si="1"/>
        <v>0.7</v>
      </c>
      <c r="G9" s="3" t="s">
        <v>70</v>
      </c>
      <c r="H9" s="4">
        <v>0.7</v>
      </c>
      <c r="I9" s="3" t="s">
        <v>71</v>
      </c>
      <c r="J9" s="2">
        <v>0.88</v>
      </c>
      <c r="K9" s="2">
        <v>0.8</v>
      </c>
      <c r="L9" s="2">
        <v>0.9</v>
      </c>
      <c r="M9" s="2">
        <v>0.8</v>
      </c>
      <c r="N9" s="2">
        <v>0.9</v>
      </c>
      <c r="O9" s="4">
        <f t="shared" ref="O9:O10" si="2">(L9+K9+M9+N9)/4</f>
        <v>0.85</v>
      </c>
      <c r="P9" s="3" t="s">
        <v>72</v>
      </c>
      <c r="Q9" s="2">
        <v>0.56499999999999995</v>
      </c>
    </row>
    <row r="10" spans="1:17" ht="409.5" x14ac:dyDescent="0.45">
      <c r="B10" s="3" t="s">
        <v>16</v>
      </c>
      <c r="C10" s="3" t="s">
        <v>33</v>
      </c>
      <c r="D10" s="2">
        <v>0.85</v>
      </c>
      <c r="E10" s="2">
        <v>0.75</v>
      </c>
      <c r="F10" s="2">
        <f t="shared" si="1"/>
        <v>0.8</v>
      </c>
      <c r="G10" s="3" t="s">
        <v>73</v>
      </c>
      <c r="H10" s="4">
        <v>0.7</v>
      </c>
      <c r="I10" s="3" t="s">
        <v>74</v>
      </c>
      <c r="J10" s="2">
        <v>0.82</v>
      </c>
      <c r="K10" s="2">
        <v>0.95</v>
      </c>
      <c r="L10" s="2">
        <v>0.9</v>
      </c>
      <c r="M10" s="2">
        <v>0.9</v>
      </c>
      <c r="N10" s="2">
        <v>0.85</v>
      </c>
      <c r="O10" s="4">
        <f t="shared" si="2"/>
        <v>0.9</v>
      </c>
      <c r="P10" s="3" t="s">
        <v>75</v>
      </c>
      <c r="Q10" s="2">
        <v>0.54800000000000004</v>
      </c>
    </row>
    <row r="11" spans="1:17" ht="409.5" x14ac:dyDescent="0.45">
      <c r="B11" s="3" t="s">
        <v>16</v>
      </c>
      <c r="C11" s="3" t="s">
        <v>17</v>
      </c>
      <c r="D11" s="2">
        <v>0.8</v>
      </c>
      <c r="E11" s="2">
        <v>0.7</v>
      </c>
      <c r="F11" s="2">
        <f t="shared" si="1"/>
        <v>0.75</v>
      </c>
      <c r="G11" s="3" t="s">
        <v>76</v>
      </c>
      <c r="H11" s="4">
        <v>0.7</v>
      </c>
      <c r="I11" s="3" t="s">
        <v>77</v>
      </c>
      <c r="J11" s="2">
        <v>0.82</v>
      </c>
      <c r="K11" s="2">
        <v>0.7</v>
      </c>
      <c r="L11" s="2">
        <v>0.8</v>
      </c>
      <c r="M11" s="2">
        <v>0.85</v>
      </c>
      <c r="N11" s="2">
        <v>0.75</v>
      </c>
      <c r="O11" s="4">
        <f t="shared" ref="O11" si="3">(L11+K11+M11+N11)/4</f>
        <v>0.77500000000000002</v>
      </c>
      <c r="P11" s="3" t="s">
        <v>78</v>
      </c>
      <c r="Q11" s="2">
        <v>0.48099999999999998</v>
      </c>
    </row>
    <row r="12" spans="1:17" ht="409.5" x14ac:dyDescent="0.45">
      <c r="B12" s="3" t="s">
        <v>16</v>
      </c>
      <c r="C12" s="3" t="s">
        <v>18</v>
      </c>
      <c r="D12" s="2">
        <v>0.85</v>
      </c>
      <c r="E12" s="2">
        <v>0.75</v>
      </c>
      <c r="F12" s="2">
        <f t="shared" si="1"/>
        <v>0.8</v>
      </c>
      <c r="G12" s="3" t="s">
        <v>79</v>
      </c>
      <c r="H12" s="4">
        <v>0.7</v>
      </c>
      <c r="I12" s="3" t="s">
        <v>80</v>
      </c>
      <c r="J12" s="2">
        <v>0.86</v>
      </c>
      <c r="K12" s="2">
        <v>0.5</v>
      </c>
      <c r="L12" s="2">
        <v>0.7</v>
      </c>
      <c r="M12" s="2">
        <v>0.3</v>
      </c>
      <c r="N12" s="2">
        <v>0.52</v>
      </c>
      <c r="O12" s="4">
        <f t="shared" ref="O12" si="4">(L12+K12+M12+N12)/4</f>
        <v>0.505</v>
      </c>
      <c r="P12" s="3" t="s">
        <v>78</v>
      </c>
      <c r="Q12" s="2">
        <v>0.48099999999999998</v>
      </c>
    </row>
    <row r="13" spans="1:17" ht="409.5" x14ac:dyDescent="0.45">
      <c r="B13" s="3" t="s">
        <v>82</v>
      </c>
      <c r="C13" s="3" t="s">
        <v>17</v>
      </c>
      <c r="D13" s="2">
        <v>0.85</v>
      </c>
      <c r="E13" s="2">
        <v>0.75</v>
      </c>
      <c r="F13" s="2">
        <f t="shared" si="1"/>
        <v>0.8</v>
      </c>
      <c r="G13" s="3" t="s">
        <v>83</v>
      </c>
      <c r="H13" s="4">
        <v>0.6</v>
      </c>
      <c r="I13" s="3" t="s">
        <v>84</v>
      </c>
      <c r="J13" s="2">
        <v>0.87</v>
      </c>
      <c r="K13" s="2">
        <v>0.95</v>
      </c>
      <c r="L13" s="2">
        <v>0.85</v>
      </c>
      <c r="M13" s="2">
        <v>0.9</v>
      </c>
      <c r="N13" s="2">
        <v>0.8</v>
      </c>
      <c r="O13" s="4">
        <f>(L13+K13+M13+N13)/4</f>
        <v>0.875</v>
      </c>
      <c r="P13" s="3" t="s">
        <v>85</v>
      </c>
      <c r="Q13" s="2">
        <v>0.433</v>
      </c>
    </row>
    <row r="14" spans="1:17" ht="409.5" x14ac:dyDescent="0.45">
      <c r="B14" s="3" t="s">
        <v>82</v>
      </c>
      <c r="C14" s="3" t="s">
        <v>11</v>
      </c>
      <c r="D14" s="2">
        <v>0.85</v>
      </c>
      <c r="E14" s="2">
        <v>0.65</v>
      </c>
      <c r="F14" s="2">
        <f t="shared" si="1"/>
        <v>0.75</v>
      </c>
      <c r="G14" s="3" t="s">
        <v>86</v>
      </c>
      <c r="H14" s="4">
        <v>0.7</v>
      </c>
      <c r="I14" s="3" t="s">
        <v>87</v>
      </c>
      <c r="J14" s="2">
        <v>0.89</v>
      </c>
      <c r="K14" s="2">
        <v>0.85</v>
      </c>
      <c r="L14" s="2">
        <v>0.9</v>
      </c>
      <c r="M14" s="2">
        <v>0.95</v>
      </c>
      <c r="N14" s="2">
        <v>0.85</v>
      </c>
      <c r="O14" s="4">
        <f>(L14+K14+M14+N14)/4</f>
        <v>0.88750000000000007</v>
      </c>
      <c r="P14" s="3" t="s">
        <v>88</v>
      </c>
      <c r="Q14" s="2">
        <v>0.27200000000000002</v>
      </c>
    </row>
    <row r="15" spans="1:17" ht="409.5" x14ac:dyDescent="0.45">
      <c r="B15" s="3" t="s">
        <v>82</v>
      </c>
      <c r="C15" s="3" t="s">
        <v>32</v>
      </c>
      <c r="D15" s="2">
        <v>0.85</v>
      </c>
      <c r="E15" s="2">
        <v>0.75</v>
      </c>
      <c r="F15" s="2">
        <f t="shared" si="1"/>
        <v>0.8</v>
      </c>
      <c r="G15" s="3" t="s">
        <v>89</v>
      </c>
      <c r="H15" s="4">
        <v>0.6</v>
      </c>
      <c r="I15" s="3" t="s">
        <v>90</v>
      </c>
      <c r="J15" s="2">
        <v>0.7</v>
      </c>
      <c r="K15" s="2"/>
      <c r="L15" s="2"/>
      <c r="M15" s="2"/>
      <c r="N15" s="2"/>
      <c r="O15" s="4">
        <f>(L15+K15+M15+N15)/4</f>
        <v>0</v>
      </c>
      <c r="P15" s="3" t="s">
        <v>91</v>
      </c>
      <c r="Q15" s="2">
        <v>0.48099999999999998</v>
      </c>
    </row>
    <row r="16" spans="1:17" ht="409.5" x14ac:dyDescent="0.45">
      <c r="B16" s="3" t="s">
        <v>82</v>
      </c>
      <c r="C16" s="3" t="s">
        <v>18</v>
      </c>
      <c r="D16" s="2">
        <v>0.85</v>
      </c>
      <c r="E16" s="2">
        <v>0.75</v>
      </c>
      <c r="F16" s="2">
        <f t="shared" si="1"/>
        <v>0.8</v>
      </c>
      <c r="G16" s="7" t="s">
        <v>92</v>
      </c>
      <c r="H16" s="4">
        <v>0.7</v>
      </c>
      <c r="I16" s="7" t="s">
        <v>93</v>
      </c>
      <c r="K16" s="2">
        <v>0.85</v>
      </c>
      <c r="L16" s="2">
        <v>0.9</v>
      </c>
      <c r="M16" s="2">
        <v>0.8</v>
      </c>
      <c r="N16" s="2">
        <v>0.85</v>
      </c>
      <c r="O16" s="4">
        <f>(L16+K16+M16+N16)/4</f>
        <v>0.85</v>
      </c>
      <c r="P16" s="7" t="s">
        <v>94</v>
      </c>
      <c r="Q16" s="2">
        <v>0.38</v>
      </c>
    </row>
    <row r="26" spans="9:9" x14ac:dyDescent="0.45">
      <c r="I26" s="6"/>
    </row>
    <row r="27" spans="9:9" x14ac:dyDescent="0.45">
      <c r="I27" s="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438A1-E9D5-4CFF-8FDF-7BD5F1A43D0F}">
  <dimension ref="A1:I57"/>
  <sheetViews>
    <sheetView workbookViewId="0">
      <selection sqref="A1:I5"/>
    </sheetView>
  </sheetViews>
  <sheetFormatPr defaultRowHeight="14.25" x14ac:dyDescent="0.45"/>
  <cols>
    <col min="1" max="1" width="15.265625" bestFit="1" customWidth="1"/>
    <col min="3" max="3" width="12.33203125" bestFit="1" customWidth="1"/>
  </cols>
  <sheetData>
    <row r="1" spans="1:9" ht="14.65" thickBot="1" x14ac:dyDescent="0.5">
      <c r="A1" s="10" t="s">
        <v>34</v>
      </c>
      <c r="B1" s="10" t="s">
        <v>40</v>
      </c>
      <c r="C1" s="10" t="s">
        <v>35</v>
      </c>
      <c r="D1" s="10" t="s">
        <v>36</v>
      </c>
      <c r="E1" s="10" t="s">
        <v>37</v>
      </c>
      <c r="F1" s="10" t="s">
        <v>38</v>
      </c>
      <c r="G1" s="10" t="s">
        <v>19</v>
      </c>
      <c r="H1" s="10" t="s">
        <v>20</v>
      </c>
      <c r="I1" s="10" t="s">
        <v>21</v>
      </c>
    </row>
    <row r="2" spans="1:9" x14ac:dyDescent="0.45">
      <c r="A2" t="s">
        <v>96</v>
      </c>
      <c r="B2" t="s">
        <v>81</v>
      </c>
      <c r="C2" t="s">
        <v>7</v>
      </c>
      <c r="D2">
        <v>6</v>
      </c>
      <c r="E2">
        <v>1</v>
      </c>
      <c r="F2">
        <v>0</v>
      </c>
      <c r="G2">
        <f>D2/(D2+E2)</f>
        <v>0.8571428571428571</v>
      </c>
      <c r="H2">
        <f>D2/(D2+F2)</f>
        <v>1</v>
      </c>
      <c r="I2">
        <f>2*G2*H2/(G2+H2)</f>
        <v>0.92307692307692302</v>
      </c>
    </row>
    <row r="3" spans="1:9" x14ac:dyDescent="0.45">
      <c r="A3" t="s">
        <v>96</v>
      </c>
      <c r="B3" t="s">
        <v>81</v>
      </c>
      <c r="C3" t="s">
        <v>8</v>
      </c>
      <c r="D3">
        <v>7</v>
      </c>
      <c r="E3">
        <v>1</v>
      </c>
      <c r="F3">
        <v>0</v>
      </c>
      <c r="G3">
        <f t="shared" ref="G3:G5" si="0">D3/(D3+E3)</f>
        <v>0.875</v>
      </c>
      <c r="H3">
        <f t="shared" ref="H3:H5" si="1">D3/(D3+F3)</f>
        <v>1</v>
      </c>
      <c r="I3">
        <f t="shared" ref="I3:I5" si="2">2*G3*H3/(G3+H3)</f>
        <v>0.93333333333333335</v>
      </c>
    </row>
    <row r="4" spans="1:9" x14ac:dyDescent="0.45">
      <c r="A4" t="s">
        <v>96</v>
      </c>
      <c r="B4" t="s">
        <v>81</v>
      </c>
      <c r="C4" t="s">
        <v>9</v>
      </c>
      <c r="D4">
        <v>6</v>
      </c>
      <c r="E4">
        <v>0</v>
      </c>
      <c r="F4">
        <v>4</v>
      </c>
      <c r="G4">
        <f t="shared" si="0"/>
        <v>1</v>
      </c>
      <c r="H4">
        <f t="shared" si="1"/>
        <v>0.6</v>
      </c>
      <c r="I4">
        <f t="shared" si="2"/>
        <v>0.74999999999999989</v>
      </c>
    </row>
    <row r="5" spans="1:9" ht="14.65" thickBot="1" x14ac:dyDescent="0.5">
      <c r="A5" s="10" t="s">
        <v>96</v>
      </c>
      <c r="B5" s="10" t="s">
        <v>81</v>
      </c>
      <c r="C5" s="10" t="s">
        <v>10</v>
      </c>
      <c r="D5" s="10">
        <v>5</v>
      </c>
      <c r="E5" s="10">
        <v>2</v>
      </c>
      <c r="F5" s="10">
        <v>2</v>
      </c>
      <c r="G5" s="10">
        <f t="shared" si="0"/>
        <v>0.7142857142857143</v>
      </c>
      <c r="H5" s="10">
        <f t="shared" si="1"/>
        <v>0.7142857142857143</v>
      </c>
      <c r="I5" s="10">
        <f t="shared" si="2"/>
        <v>0.7142857142857143</v>
      </c>
    </row>
    <row r="6" spans="1:9" x14ac:dyDescent="0.45">
      <c r="A6" t="s">
        <v>100</v>
      </c>
      <c r="B6" t="s">
        <v>81</v>
      </c>
      <c r="C6" t="s">
        <v>7</v>
      </c>
      <c r="D6">
        <v>6</v>
      </c>
      <c r="E6">
        <v>1</v>
      </c>
      <c r="F6">
        <v>0</v>
      </c>
      <c r="G6">
        <f>D6/(D6+E6)</f>
        <v>0.8571428571428571</v>
      </c>
      <c r="H6">
        <f>D6/(D6+F6)</f>
        <v>1</v>
      </c>
      <c r="I6">
        <f>2*G6*H6/(G6+H6)</f>
        <v>0.92307692307692302</v>
      </c>
    </row>
    <row r="7" spans="1:9" x14ac:dyDescent="0.45">
      <c r="A7" t="s">
        <v>100</v>
      </c>
      <c r="B7" t="s">
        <v>81</v>
      </c>
      <c r="C7" t="s">
        <v>8</v>
      </c>
      <c r="D7">
        <v>7</v>
      </c>
      <c r="E7">
        <v>1</v>
      </c>
      <c r="F7">
        <v>0</v>
      </c>
      <c r="G7">
        <f t="shared" ref="G7:G9" si="3">D7/(D7+E7)</f>
        <v>0.875</v>
      </c>
      <c r="H7">
        <f t="shared" ref="H7:H9" si="4">D7/(D7+F7)</f>
        <v>1</v>
      </c>
      <c r="I7">
        <f t="shared" ref="I7:I9" si="5">2*G7*H7/(G7+H7)</f>
        <v>0.93333333333333335</v>
      </c>
    </row>
    <row r="8" spans="1:9" x14ac:dyDescent="0.45">
      <c r="A8" t="s">
        <v>100</v>
      </c>
      <c r="B8" t="s">
        <v>81</v>
      </c>
      <c r="C8" t="s">
        <v>9</v>
      </c>
      <c r="D8">
        <v>4</v>
      </c>
      <c r="E8">
        <v>0</v>
      </c>
      <c r="F8">
        <v>6</v>
      </c>
      <c r="G8">
        <f t="shared" si="3"/>
        <v>1</v>
      </c>
      <c r="H8">
        <f t="shared" si="4"/>
        <v>0.4</v>
      </c>
      <c r="I8">
        <f t="shared" si="5"/>
        <v>0.57142857142857151</v>
      </c>
    </row>
    <row r="9" spans="1:9" ht="14.65" thickBot="1" x14ac:dyDescent="0.5">
      <c r="A9" s="10" t="s">
        <v>100</v>
      </c>
      <c r="B9" s="10" t="s">
        <v>81</v>
      </c>
      <c r="C9" s="10" t="s">
        <v>10</v>
      </c>
      <c r="D9" s="10">
        <v>5</v>
      </c>
      <c r="E9" s="10">
        <v>6</v>
      </c>
      <c r="F9" s="10">
        <v>2</v>
      </c>
      <c r="G9" s="10">
        <f t="shared" si="3"/>
        <v>0.45454545454545453</v>
      </c>
      <c r="H9" s="10">
        <f t="shared" si="4"/>
        <v>0.7142857142857143</v>
      </c>
      <c r="I9" s="10">
        <f t="shared" si="5"/>
        <v>0.55555555555555558</v>
      </c>
    </row>
    <row r="10" spans="1:9" x14ac:dyDescent="0.45">
      <c r="A10" t="s">
        <v>162</v>
      </c>
      <c r="B10" t="s">
        <v>81</v>
      </c>
      <c r="C10" t="s">
        <v>7</v>
      </c>
      <c r="D10">
        <v>6</v>
      </c>
      <c r="E10">
        <v>1</v>
      </c>
      <c r="F10">
        <v>0</v>
      </c>
      <c r="G10">
        <f>D10/(D10+E10)</f>
        <v>0.8571428571428571</v>
      </c>
      <c r="H10">
        <f>D10/(D10+F10)</f>
        <v>1</v>
      </c>
      <c r="I10">
        <f>2*G10*H10/(G10+H10)</f>
        <v>0.92307692307692302</v>
      </c>
    </row>
    <row r="11" spans="1:9" x14ac:dyDescent="0.45">
      <c r="A11" t="s">
        <v>162</v>
      </c>
      <c r="B11" t="s">
        <v>81</v>
      </c>
      <c r="C11" t="s">
        <v>8</v>
      </c>
      <c r="D11">
        <v>5</v>
      </c>
      <c r="E11">
        <v>2</v>
      </c>
      <c r="F11">
        <v>2</v>
      </c>
      <c r="G11">
        <f t="shared" ref="G11:G13" si="6">D11/(D11+E11)</f>
        <v>0.7142857142857143</v>
      </c>
      <c r="H11">
        <f t="shared" ref="H11:H13" si="7">D11/(D11+F11)</f>
        <v>0.7142857142857143</v>
      </c>
      <c r="I11">
        <f t="shared" ref="I11:I13" si="8">2*G11*H11/(G11+H11)</f>
        <v>0.7142857142857143</v>
      </c>
    </row>
    <row r="12" spans="1:9" x14ac:dyDescent="0.45">
      <c r="A12" t="s">
        <v>162</v>
      </c>
      <c r="B12" t="s">
        <v>81</v>
      </c>
      <c r="C12" t="s">
        <v>9</v>
      </c>
      <c r="D12">
        <v>4</v>
      </c>
      <c r="E12">
        <v>1</v>
      </c>
      <c r="F12">
        <v>6</v>
      </c>
      <c r="G12">
        <f t="shared" si="6"/>
        <v>0.8</v>
      </c>
      <c r="H12">
        <f t="shared" si="7"/>
        <v>0.4</v>
      </c>
      <c r="I12">
        <f t="shared" si="8"/>
        <v>0.53333333333333333</v>
      </c>
    </row>
    <row r="13" spans="1:9" ht="14.65" thickBot="1" x14ac:dyDescent="0.5">
      <c r="A13" s="10" t="s">
        <v>162</v>
      </c>
      <c r="B13" s="10" t="s">
        <v>81</v>
      </c>
      <c r="C13" s="10" t="s">
        <v>10</v>
      </c>
      <c r="D13" s="10">
        <v>5</v>
      </c>
      <c r="E13" s="10">
        <v>4</v>
      </c>
      <c r="F13" s="10">
        <v>2</v>
      </c>
      <c r="G13" s="10">
        <f t="shared" si="6"/>
        <v>0.55555555555555558</v>
      </c>
      <c r="H13" s="10">
        <f t="shared" si="7"/>
        <v>0.7142857142857143</v>
      </c>
      <c r="I13" s="10">
        <f t="shared" si="8"/>
        <v>0.62500000000000011</v>
      </c>
    </row>
    <row r="14" spans="1:9" x14ac:dyDescent="0.45">
      <c r="A14" t="s">
        <v>108</v>
      </c>
      <c r="B14" t="s">
        <v>81</v>
      </c>
      <c r="C14" t="s">
        <v>7</v>
      </c>
      <c r="D14">
        <v>6</v>
      </c>
      <c r="E14">
        <v>0</v>
      </c>
      <c r="F14">
        <v>0</v>
      </c>
      <c r="G14">
        <f>D14/(D14+E14)</f>
        <v>1</v>
      </c>
      <c r="H14">
        <f>D14/(D14+F14)</f>
        <v>1</v>
      </c>
      <c r="I14">
        <f>2*G14*H14/(G14+H14)</f>
        <v>1</v>
      </c>
    </row>
    <row r="15" spans="1:9" x14ac:dyDescent="0.45">
      <c r="A15" t="s">
        <v>108</v>
      </c>
      <c r="B15" t="s">
        <v>81</v>
      </c>
      <c r="C15" t="s">
        <v>8</v>
      </c>
      <c r="D15">
        <v>7</v>
      </c>
      <c r="E15">
        <v>0</v>
      </c>
      <c r="F15">
        <v>0</v>
      </c>
      <c r="G15">
        <f t="shared" ref="G15:G17" si="9">D15/(D15+E15)</f>
        <v>1</v>
      </c>
      <c r="H15">
        <f t="shared" ref="H15:H17" si="10">D15/(D15+F15)</f>
        <v>1</v>
      </c>
      <c r="I15">
        <f t="shared" ref="I15:I17" si="11">2*G15*H15/(G15+H15)</f>
        <v>1</v>
      </c>
    </row>
    <row r="16" spans="1:9" x14ac:dyDescent="0.45">
      <c r="A16" t="s">
        <v>108</v>
      </c>
      <c r="B16" t="s">
        <v>81</v>
      </c>
      <c r="C16" t="s">
        <v>9</v>
      </c>
      <c r="D16">
        <v>6</v>
      </c>
      <c r="E16">
        <v>0</v>
      </c>
      <c r="F16">
        <v>4</v>
      </c>
      <c r="G16">
        <f t="shared" si="9"/>
        <v>1</v>
      </c>
      <c r="H16">
        <f t="shared" si="10"/>
        <v>0.6</v>
      </c>
      <c r="I16">
        <f t="shared" si="11"/>
        <v>0.74999999999999989</v>
      </c>
    </row>
    <row r="17" spans="1:9" ht="14.65" thickBot="1" x14ac:dyDescent="0.5">
      <c r="A17" s="10" t="s">
        <v>108</v>
      </c>
      <c r="B17" s="10" t="s">
        <v>81</v>
      </c>
      <c r="C17" s="10" t="s">
        <v>10</v>
      </c>
      <c r="D17" s="10">
        <v>6</v>
      </c>
      <c r="E17" s="10">
        <v>2</v>
      </c>
      <c r="F17" s="10">
        <v>1</v>
      </c>
      <c r="G17" s="10">
        <f t="shared" si="9"/>
        <v>0.75</v>
      </c>
      <c r="H17" s="10">
        <f t="shared" si="10"/>
        <v>0.8571428571428571</v>
      </c>
      <c r="I17" s="10">
        <f t="shared" si="11"/>
        <v>0.79999999999999993</v>
      </c>
    </row>
    <row r="18" spans="1:9" x14ac:dyDescent="0.45">
      <c r="A18" t="s">
        <v>163</v>
      </c>
      <c r="B18" t="s">
        <v>81</v>
      </c>
      <c r="C18" t="s">
        <v>7</v>
      </c>
      <c r="D18">
        <v>5</v>
      </c>
      <c r="E18">
        <v>0</v>
      </c>
      <c r="F18">
        <v>1</v>
      </c>
      <c r="G18">
        <f>D18/(D18+E18)</f>
        <v>1</v>
      </c>
      <c r="H18">
        <f>D18/(D18+F18)</f>
        <v>0.83333333333333337</v>
      </c>
      <c r="I18">
        <f>2*G18*H18/(G18+H18)</f>
        <v>0.90909090909090906</v>
      </c>
    </row>
    <row r="19" spans="1:9" x14ac:dyDescent="0.45">
      <c r="A19" t="s">
        <v>163</v>
      </c>
      <c r="B19" t="s">
        <v>81</v>
      </c>
      <c r="C19" t="s">
        <v>8</v>
      </c>
      <c r="D19">
        <v>5</v>
      </c>
      <c r="E19">
        <v>0</v>
      </c>
      <c r="F19">
        <v>2</v>
      </c>
      <c r="G19">
        <f t="shared" ref="G19:G21" si="12">D19/(D19+E19)</f>
        <v>1</v>
      </c>
      <c r="H19">
        <f t="shared" ref="H19:H21" si="13">D19/(D19+F19)</f>
        <v>0.7142857142857143</v>
      </c>
      <c r="I19">
        <f t="shared" ref="I19:I21" si="14">2*G19*H19/(G19+H19)</f>
        <v>0.83333333333333326</v>
      </c>
    </row>
    <row r="20" spans="1:9" x14ac:dyDescent="0.45">
      <c r="A20" t="s">
        <v>163</v>
      </c>
      <c r="B20" t="s">
        <v>81</v>
      </c>
      <c r="C20" t="s">
        <v>9</v>
      </c>
      <c r="D20">
        <v>8</v>
      </c>
      <c r="E20">
        <v>3</v>
      </c>
      <c r="F20">
        <v>2</v>
      </c>
      <c r="G20">
        <f t="shared" si="12"/>
        <v>0.72727272727272729</v>
      </c>
      <c r="H20">
        <f t="shared" si="13"/>
        <v>0.8</v>
      </c>
      <c r="I20">
        <f t="shared" si="14"/>
        <v>0.76190476190476197</v>
      </c>
    </row>
    <row r="21" spans="1:9" ht="14.65" thickBot="1" x14ac:dyDescent="0.5">
      <c r="A21" s="10" t="s">
        <v>163</v>
      </c>
      <c r="B21" s="10" t="s">
        <v>81</v>
      </c>
      <c r="C21" s="10" t="s">
        <v>10</v>
      </c>
      <c r="D21" s="10">
        <v>4</v>
      </c>
      <c r="E21" s="10">
        <v>4</v>
      </c>
      <c r="F21" s="10">
        <v>3</v>
      </c>
      <c r="G21" s="10">
        <f t="shared" si="12"/>
        <v>0.5</v>
      </c>
      <c r="H21" s="10">
        <f t="shared" si="13"/>
        <v>0.5714285714285714</v>
      </c>
      <c r="I21" s="10">
        <f t="shared" si="14"/>
        <v>0.53333333333333333</v>
      </c>
    </row>
    <row r="22" spans="1:9" x14ac:dyDescent="0.45">
      <c r="A22" t="s">
        <v>165</v>
      </c>
      <c r="B22" t="s">
        <v>81</v>
      </c>
      <c r="C22" t="s">
        <v>7</v>
      </c>
      <c r="D22">
        <v>6</v>
      </c>
      <c r="E22">
        <v>0</v>
      </c>
      <c r="F22">
        <v>0</v>
      </c>
      <c r="G22">
        <f>D22/(D22+E22)</f>
        <v>1</v>
      </c>
      <c r="H22">
        <f>D22/(D22+F22)</f>
        <v>1</v>
      </c>
      <c r="I22">
        <f>2*G22*H22/(G22+H22)</f>
        <v>1</v>
      </c>
    </row>
    <row r="23" spans="1:9" x14ac:dyDescent="0.45">
      <c r="A23" t="s">
        <v>165</v>
      </c>
      <c r="B23" t="s">
        <v>81</v>
      </c>
      <c r="C23" t="s">
        <v>8</v>
      </c>
      <c r="D23">
        <v>6</v>
      </c>
      <c r="E23">
        <v>0</v>
      </c>
      <c r="F23">
        <v>1</v>
      </c>
      <c r="G23">
        <f t="shared" ref="G23:G25" si="15">D23/(D23+E23)</f>
        <v>1</v>
      </c>
      <c r="H23">
        <f t="shared" ref="H23:H25" si="16">D23/(D23+F23)</f>
        <v>0.8571428571428571</v>
      </c>
      <c r="I23">
        <f t="shared" ref="I23:I25" si="17">2*G23*H23/(G23+H23)</f>
        <v>0.92307692307692302</v>
      </c>
    </row>
    <row r="24" spans="1:9" x14ac:dyDescent="0.45">
      <c r="A24" t="s">
        <v>165</v>
      </c>
      <c r="B24" t="s">
        <v>81</v>
      </c>
      <c r="C24" t="s">
        <v>9</v>
      </c>
      <c r="D24">
        <v>4</v>
      </c>
      <c r="E24">
        <v>4</v>
      </c>
      <c r="F24">
        <v>6</v>
      </c>
      <c r="G24">
        <f t="shared" si="15"/>
        <v>0.5</v>
      </c>
      <c r="H24">
        <f t="shared" si="16"/>
        <v>0.4</v>
      </c>
      <c r="I24">
        <f t="shared" si="17"/>
        <v>0.44444444444444448</v>
      </c>
    </row>
    <row r="25" spans="1:9" ht="14.65" thickBot="1" x14ac:dyDescent="0.5">
      <c r="A25" s="10" t="s">
        <v>165</v>
      </c>
      <c r="B25" s="10" t="s">
        <v>81</v>
      </c>
      <c r="C25" s="10" t="s">
        <v>10</v>
      </c>
      <c r="D25" s="10">
        <v>5</v>
      </c>
      <c r="E25" s="10">
        <v>2</v>
      </c>
      <c r="F25" s="10">
        <v>2</v>
      </c>
      <c r="G25" s="10">
        <f t="shared" si="15"/>
        <v>0.7142857142857143</v>
      </c>
      <c r="H25" s="10">
        <f t="shared" si="16"/>
        <v>0.7142857142857143</v>
      </c>
      <c r="I25" s="10">
        <f t="shared" si="17"/>
        <v>0.7142857142857143</v>
      </c>
    </row>
    <row r="26" spans="1:9" x14ac:dyDescent="0.45">
      <c r="A26" t="s">
        <v>117</v>
      </c>
      <c r="B26" t="s">
        <v>81</v>
      </c>
      <c r="C26" t="s">
        <v>7</v>
      </c>
      <c r="D26">
        <v>6</v>
      </c>
      <c r="E26">
        <v>2</v>
      </c>
      <c r="F26">
        <v>0</v>
      </c>
      <c r="G26">
        <f>D26/(D26+E26)</f>
        <v>0.75</v>
      </c>
      <c r="H26">
        <f>D26/(D26+F26)</f>
        <v>1</v>
      </c>
      <c r="I26">
        <f>2*G26*H26/(G26+H26)</f>
        <v>0.8571428571428571</v>
      </c>
    </row>
    <row r="27" spans="1:9" x14ac:dyDescent="0.45">
      <c r="A27" t="s">
        <v>117</v>
      </c>
      <c r="B27" t="s">
        <v>81</v>
      </c>
      <c r="C27" t="s">
        <v>8</v>
      </c>
      <c r="D27">
        <v>5</v>
      </c>
      <c r="E27">
        <v>2</v>
      </c>
      <c r="F27">
        <v>2</v>
      </c>
      <c r="G27">
        <f t="shared" ref="G27:G29" si="18">D27/(D27+E27)</f>
        <v>0.7142857142857143</v>
      </c>
      <c r="H27">
        <f t="shared" ref="H27:H29" si="19">D27/(D27+F27)</f>
        <v>0.7142857142857143</v>
      </c>
      <c r="I27">
        <f t="shared" ref="I27:I29" si="20">2*G27*H27/(G27+H27)</f>
        <v>0.7142857142857143</v>
      </c>
    </row>
    <row r="28" spans="1:9" x14ac:dyDescent="0.45">
      <c r="A28" t="s">
        <v>117</v>
      </c>
      <c r="B28" t="s">
        <v>81</v>
      </c>
      <c r="C28" t="s">
        <v>9</v>
      </c>
      <c r="D28">
        <v>4</v>
      </c>
      <c r="E28">
        <v>0</v>
      </c>
      <c r="F28">
        <v>6</v>
      </c>
      <c r="G28">
        <f t="shared" si="18"/>
        <v>1</v>
      </c>
      <c r="H28">
        <f t="shared" si="19"/>
        <v>0.4</v>
      </c>
      <c r="I28">
        <f t="shared" si="20"/>
        <v>0.57142857142857151</v>
      </c>
    </row>
    <row r="29" spans="1:9" ht="14.65" thickBot="1" x14ac:dyDescent="0.5">
      <c r="A29" s="10" t="s">
        <v>117</v>
      </c>
      <c r="B29" s="10" t="s">
        <v>81</v>
      </c>
      <c r="C29" s="10" t="s">
        <v>10</v>
      </c>
      <c r="D29" s="10">
        <v>5</v>
      </c>
      <c r="E29" s="10">
        <v>4</v>
      </c>
      <c r="F29" s="10">
        <v>2</v>
      </c>
      <c r="G29" s="10">
        <f t="shared" si="18"/>
        <v>0.55555555555555558</v>
      </c>
      <c r="H29" s="10">
        <f t="shared" si="19"/>
        <v>0.7142857142857143</v>
      </c>
      <c r="I29" s="10">
        <f t="shared" si="20"/>
        <v>0.62500000000000011</v>
      </c>
    </row>
    <row r="30" spans="1:9" x14ac:dyDescent="0.45">
      <c r="A30" t="s">
        <v>121</v>
      </c>
      <c r="B30" t="s">
        <v>81</v>
      </c>
      <c r="C30" t="s">
        <v>7</v>
      </c>
      <c r="D30">
        <v>6</v>
      </c>
      <c r="E30">
        <v>0</v>
      </c>
      <c r="F30">
        <v>0</v>
      </c>
      <c r="G30">
        <f>D30/(D30+E30)</f>
        <v>1</v>
      </c>
      <c r="H30">
        <f>D30/(D30+F30)</f>
        <v>1</v>
      </c>
      <c r="I30">
        <f>2*G30*H30/(G30+H30)</f>
        <v>1</v>
      </c>
    </row>
    <row r="31" spans="1:9" x14ac:dyDescent="0.45">
      <c r="A31" t="s">
        <v>121</v>
      </c>
      <c r="B31" t="s">
        <v>81</v>
      </c>
      <c r="C31" t="s">
        <v>8</v>
      </c>
      <c r="D31">
        <v>4</v>
      </c>
      <c r="E31">
        <v>1</v>
      </c>
      <c r="F31">
        <v>3</v>
      </c>
      <c r="G31">
        <f t="shared" ref="G31:G33" si="21">D31/(D31+E31)</f>
        <v>0.8</v>
      </c>
      <c r="H31">
        <f t="shared" ref="H31:H33" si="22">D31/(D31+F31)</f>
        <v>0.5714285714285714</v>
      </c>
      <c r="I31">
        <f t="shared" ref="I31:I33" si="23">2*G31*H31/(G31+H31)</f>
        <v>0.66666666666666663</v>
      </c>
    </row>
    <row r="32" spans="1:9" x14ac:dyDescent="0.45">
      <c r="A32" t="s">
        <v>121</v>
      </c>
      <c r="B32" t="s">
        <v>81</v>
      </c>
      <c r="C32" t="s">
        <v>9</v>
      </c>
      <c r="D32">
        <v>6</v>
      </c>
      <c r="E32">
        <v>1</v>
      </c>
      <c r="F32">
        <v>4</v>
      </c>
      <c r="G32">
        <f t="shared" si="21"/>
        <v>0.8571428571428571</v>
      </c>
      <c r="H32">
        <f t="shared" si="22"/>
        <v>0.6</v>
      </c>
      <c r="I32">
        <f t="shared" si="23"/>
        <v>0.70588235294117641</v>
      </c>
    </row>
    <row r="33" spans="1:9" ht="14.65" thickBot="1" x14ac:dyDescent="0.5">
      <c r="A33" s="10" t="s">
        <v>121</v>
      </c>
      <c r="B33" s="10" t="s">
        <v>81</v>
      </c>
      <c r="C33" s="10" t="s">
        <v>10</v>
      </c>
      <c r="D33" s="10">
        <v>5</v>
      </c>
      <c r="E33" s="10">
        <v>5</v>
      </c>
      <c r="F33" s="10">
        <v>2</v>
      </c>
      <c r="G33" s="10">
        <f t="shared" si="21"/>
        <v>0.5</v>
      </c>
      <c r="H33" s="10">
        <f t="shared" si="22"/>
        <v>0.7142857142857143</v>
      </c>
      <c r="I33" s="10">
        <f t="shared" si="23"/>
        <v>0.58823529411764697</v>
      </c>
    </row>
    <row r="34" spans="1:9" x14ac:dyDescent="0.45">
      <c r="A34" t="s">
        <v>125</v>
      </c>
      <c r="B34" t="s">
        <v>81</v>
      </c>
      <c r="C34" t="s">
        <v>7</v>
      </c>
      <c r="D34">
        <v>6</v>
      </c>
      <c r="E34">
        <v>2</v>
      </c>
      <c r="F34">
        <v>0</v>
      </c>
      <c r="G34">
        <f>D34/(D34+E34)</f>
        <v>0.75</v>
      </c>
      <c r="H34">
        <f>D34/(D34+F34)</f>
        <v>1</v>
      </c>
      <c r="I34">
        <f>2*G34*H34/(G34+H34)</f>
        <v>0.8571428571428571</v>
      </c>
    </row>
    <row r="35" spans="1:9" x14ac:dyDescent="0.45">
      <c r="A35" t="s">
        <v>125</v>
      </c>
      <c r="B35" t="s">
        <v>81</v>
      </c>
      <c r="C35" t="s">
        <v>8</v>
      </c>
      <c r="D35">
        <v>6</v>
      </c>
      <c r="E35">
        <v>2</v>
      </c>
      <c r="F35">
        <v>1</v>
      </c>
      <c r="G35">
        <f t="shared" ref="G35:G37" si="24">D35/(D35+E35)</f>
        <v>0.75</v>
      </c>
      <c r="H35">
        <f t="shared" ref="H35:H37" si="25">D35/(D35+F35)</f>
        <v>0.8571428571428571</v>
      </c>
      <c r="I35">
        <f t="shared" ref="I35:I37" si="26">2*G35*H35/(G35+H35)</f>
        <v>0.79999999999999993</v>
      </c>
    </row>
    <row r="36" spans="1:9" x14ac:dyDescent="0.45">
      <c r="A36" t="s">
        <v>125</v>
      </c>
      <c r="B36" t="s">
        <v>81</v>
      </c>
      <c r="C36" t="s">
        <v>9</v>
      </c>
      <c r="D36">
        <v>6</v>
      </c>
      <c r="E36">
        <v>2</v>
      </c>
      <c r="F36">
        <v>4</v>
      </c>
      <c r="G36">
        <f t="shared" si="24"/>
        <v>0.75</v>
      </c>
      <c r="H36">
        <f t="shared" si="25"/>
        <v>0.6</v>
      </c>
      <c r="I36">
        <f t="shared" si="26"/>
        <v>0.66666666666666652</v>
      </c>
    </row>
    <row r="37" spans="1:9" ht="14.65" thickBot="1" x14ac:dyDescent="0.5">
      <c r="A37" s="10" t="s">
        <v>125</v>
      </c>
      <c r="B37" s="10" t="s">
        <v>81</v>
      </c>
      <c r="C37" s="10" t="s">
        <v>10</v>
      </c>
      <c r="D37" s="10">
        <v>4</v>
      </c>
      <c r="E37" s="10">
        <v>0</v>
      </c>
      <c r="F37" s="10">
        <v>3</v>
      </c>
      <c r="G37" s="10">
        <f t="shared" si="24"/>
        <v>1</v>
      </c>
      <c r="H37" s="10">
        <f t="shared" si="25"/>
        <v>0.5714285714285714</v>
      </c>
      <c r="I37" s="10">
        <f t="shared" si="26"/>
        <v>0.72727272727272729</v>
      </c>
    </row>
    <row r="38" spans="1:9" x14ac:dyDescent="0.45">
      <c r="A38" t="s">
        <v>129</v>
      </c>
      <c r="B38" t="s">
        <v>81</v>
      </c>
      <c r="C38" t="s">
        <v>7</v>
      </c>
      <c r="D38">
        <v>6</v>
      </c>
      <c r="E38">
        <v>1</v>
      </c>
      <c r="F38">
        <v>0</v>
      </c>
      <c r="G38">
        <f>D38/(D38+E38)</f>
        <v>0.8571428571428571</v>
      </c>
      <c r="H38">
        <f>D38/(D38+F38)</f>
        <v>1</v>
      </c>
      <c r="I38">
        <f>2*G38*H38/(G38+H38)</f>
        <v>0.92307692307692302</v>
      </c>
    </row>
    <row r="39" spans="1:9" x14ac:dyDescent="0.45">
      <c r="A39" t="s">
        <v>129</v>
      </c>
      <c r="B39" t="s">
        <v>81</v>
      </c>
      <c r="C39" t="s">
        <v>8</v>
      </c>
      <c r="D39">
        <v>5</v>
      </c>
      <c r="E39">
        <v>1</v>
      </c>
      <c r="F39">
        <v>2</v>
      </c>
      <c r="G39">
        <f t="shared" ref="G39:G41" si="27">D39/(D39+E39)</f>
        <v>0.83333333333333337</v>
      </c>
      <c r="H39">
        <f t="shared" ref="H39:H41" si="28">D39/(D39+F39)</f>
        <v>0.7142857142857143</v>
      </c>
      <c r="I39">
        <f t="shared" ref="I39:I41" si="29">2*G39*H39/(G39+H39)</f>
        <v>0.76923076923076916</v>
      </c>
    </row>
    <row r="40" spans="1:9" x14ac:dyDescent="0.45">
      <c r="A40" t="s">
        <v>129</v>
      </c>
      <c r="B40" t="s">
        <v>81</v>
      </c>
      <c r="C40" t="s">
        <v>9</v>
      </c>
      <c r="D40">
        <v>4</v>
      </c>
      <c r="E40">
        <v>0</v>
      </c>
      <c r="F40">
        <v>6</v>
      </c>
      <c r="G40">
        <f t="shared" si="27"/>
        <v>1</v>
      </c>
      <c r="H40">
        <f t="shared" si="28"/>
        <v>0.4</v>
      </c>
      <c r="I40">
        <f t="shared" si="29"/>
        <v>0.57142857142857151</v>
      </c>
    </row>
    <row r="41" spans="1:9" ht="14.65" thickBot="1" x14ac:dyDescent="0.5">
      <c r="A41" s="10" t="s">
        <v>129</v>
      </c>
      <c r="B41" s="10" t="s">
        <v>81</v>
      </c>
      <c r="C41" s="10" t="s">
        <v>10</v>
      </c>
      <c r="D41" s="10">
        <v>3</v>
      </c>
      <c r="E41" s="10">
        <v>3</v>
      </c>
      <c r="F41" s="10">
        <v>4</v>
      </c>
      <c r="G41" s="10">
        <f t="shared" si="27"/>
        <v>0.5</v>
      </c>
      <c r="H41" s="10">
        <f t="shared" si="28"/>
        <v>0.42857142857142855</v>
      </c>
      <c r="I41" s="10">
        <f t="shared" si="29"/>
        <v>0.46153846153846151</v>
      </c>
    </row>
    <row r="42" spans="1:9" x14ac:dyDescent="0.45">
      <c r="A42" t="s">
        <v>164</v>
      </c>
      <c r="B42" t="s">
        <v>81</v>
      </c>
      <c r="C42" t="s">
        <v>7</v>
      </c>
      <c r="D42">
        <v>6</v>
      </c>
      <c r="E42">
        <v>3</v>
      </c>
      <c r="F42">
        <v>0</v>
      </c>
      <c r="G42">
        <f>D42/(D42+E42)</f>
        <v>0.66666666666666663</v>
      </c>
      <c r="H42">
        <f>D42/(D42+F42)</f>
        <v>1</v>
      </c>
      <c r="I42">
        <f>2*G42*H42/(G42+H42)</f>
        <v>0.8</v>
      </c>
    </row>
    <row r="43" spans="1:9" x14ac:dyDescent="0.45">
      <c r="A43" t="s">
        <v>164</v>
      </c>
      <c r="B43" t="s">
        <v>81</v>
      </c>
      <c r="C43" t="s">
        <v>8</v>
      </c>
      <c r="D43">
        <v>7</v>
      </c>
      <c r="E43">
        <v>9</v>
      </c>
      <c r="F43">
        <v>0</v>
      </c>
      <c r="G43">
        <f t="shared" ref="G43:G45" si="30">D43/(D43+E43)</f>
        <v>0.4375</v>
      </c>
      <c r="H43">
        <f t="shared" ref="H43:H45" si="31">D43/(D43+F43)</f>
        <v>1</v>
      </c>
      <c r="I43">
        <f t="shared" ref="I43:I45" si="32">2*G43*H43/(G43+H43)</f>
        <v>0.60869565217391308</v>
      </c>
    </row>
    <row r="44" spans="1:9" x14ac:dyDescent="0.45">
      <c r="A44" t="s">
        <v>164</v>
      </c>
      <c r="B44" t="s">
        <v>81</v>
      </c>
      <c r="C44" t="s">
        <v>9</v>
      </c>
      <c r="D44">
        <v>4</v>
      </c>
      <c r="E44">
        <v>2</v>
      </c>
      <c r="F44">
        <v>6</v>
      </c>
      <c r="G44">
        <f t="shared" si="30"/>
        <v>0.66666666666666663</v>
      </c>
      <c r="H44">
        <f t="shared" si="31"/>
        <v>0.4</v>
      </c>
      <c r="I44">
        <f t="shared" si="32"/>
        <v>0.5</v>
      </c>
    </row>
    <row r="45" spans="1:9" ht="14.65" thickBot="1" x14ac:dyDescent="0.5">
      <c r="A45" s="10" t="s">
        <v>164</v>
      </c>
      <c r="B45" s="10" t="s">
        <v>81</v>
      </c>
      <c r="C45" s="10" t="s">
        <v>10</v>
      </c>
      <c r="D45" s="10">
        <v>7</v>
      </c>
      <c r="E45" s="10">
        <v>3</v>
      </c>
      <c r="F45" s="10">
        <v>0</v>
      </c>
      <c r="G45" s="10">
        <f t="shared" si="30"/>
        <v>0.7</v>
      </c>
      <c r="H45" s="10">
        <f t="shared" si="31"/>
        <v>1</v>
      </c>
      <c r="I45" s="10">
        <f t="shared" si="32"/>
        <v>0.82352941176470584</v>
      </c>
    </row>
    <row r="46" spans="1:9" x14ac:dyDescent="0.45">
      <c r="A46" t="s">
        <v>137</v>
      </c>
      <c r="B46" t="s">
        <v>81</v>
      </c>
      <c r="C46" t="s">
        <v>7</v>
      </c>
      <c r="D46">
        <v>6</v>
      </c>
      <c r="E46">
        <v>3</v>
      </c>
      <c r="F46">
        <v>0</v>
      </c>
      <c r="G46">
        <f>D46/(D46+E46)</f>
        <v>0.66666666666666663</v>
      </c>
      <c r="H46">
        <f>D46/(D46+F46)</f>
        <v>1</v>
      </c>
      <c r="I46">
        <f>2*G46*H46/(G46+H46)</f>
        <v>0.8</v>
      </c>
    </row>
    <row r="47" spans="1:9" x14ac:dyDescent="0.45">
      <c r="A47" t="s">
        <v>137</v>
      </c>
      <c r="B47" t="s">
        <v>81</v>
      </c>
      <c r="C47" t="s">
        <v>8</v>
      </c>
      <c r="D47">
        <v>6</v>
      </c>
      <c r="E47">
        <v>6</v>
      </c>
      <c r="F47">
        <v>1</v>
      </c>
      <c r="G47">
        <f t="shared" ref="G47:G49" si="33">D47/(D47+E47)</f>
        <v>0.5</v>
      </c>
      <c r="H47">
        <f t="shared" ref="H47:H49" si="34">D47/(D47+F47)</f>
        <v>0.8571428571428571</v>
      </c>
      <c r="I47">
        <f t="shared" ref="I47:I49" si="35">2*G47*H47/(G47+H47)</f>
        <v>0.63157894736842102</v>
      </c>
    </row>
    <row r="48" spans="1:9" x14ac:dyDescent="0.45">
      <c r="A48" t="s">
        <v>137</v>
      </c>
      <c r="B48" t="s">
        <v>81</v>
      </c>
      <c r="C48" t="s">
        <v>9</v>
      </c>
      <c r="D48">
        <v>4</v>
      </c>
      <c r="E48">
        <v>4</v>
      </c>
      <c r="F48">
        <v>6</v>
      </c>
      <c r="G48">
        <f t="shared" si="33"/>
        <v>0.5</v>
      </c>
      <c r="H48">
        <f t="shared" si="34"/>
        <v>0.4</v>
      </c>
      <c r="I48">
        <f t="shared" si="35"/>
        <v>0.44444444444444448</v>
      </c>
    </row>
    <row r="49" spans="1:9" ht="14.65" thickBot="1" x14ac:dyDescent="0.5">
      <c r="A49" s="10" t="s">
        <v>137</v>
      </c>
      <c r="B49" s="10" t="s">
        <v>81</v>
      </c>
      <c r="C49" s="10" t="s">
        <v>10</v>
      </c>
      <c r="D49" s="10">
        <v>7</v>
      </c>
      <c r="E49" s="10">
        <v>9</v>
      </c>
      <c r="F49" s="10">
        <v>0</v>
      </c>
      <c r="G49" s="10">
        <f t="shared" si="33"/>
        <v>0.4375</v>
      </c>
      <c r="H49" s="10">
        <f t="shared" si="34"/>
        <v>1</v>
      </c>
      <c r="I49" s="10">
        <f t="shared" si="35"/>
        <v>0.60869565217391308</v>
      </c>
    </row>
    <row r="50" spans="1:9" x14ac:dyDescent="0.45">
      <c r="A50" t="s">
        <v>141</v>
      </c>
      <c r="B50" t="s">
        <v>81</v>
      </c>
      <c r="C50" t="s">
        <v>7</v>
      </c>
      <c r="D50">
        <v>6</v>
      </c>
      <c r="E50">
        <v>3</v>
      </c>
      <c r="F50">
        <v>0</v>
      </c>
      <c r="G50">
        <f>D50/(D50+E50)</f>
        <v>0.66666666666666663</v>
      </c>
      <c r="H50">
        <f>D50/(D50+F50)</f>
        <v>1</v>
      </c>
      <c r="I50">
        <f>2*G50*H50/(G50+H50)</f>
        <v>0.8</v>
      </c>
    </row>
    <row r="51" spans="1:9" x14ac:dyDescent="0.45">
      <c r="A51" t="s">
        <v>141</v>
      </c>
      <c r="B51" t="s">
        <v>81</v>
      </c>
      <c r="C51" t="s">
        <v>8</v>
      </c>
      <c r="D51">
        <v>6</v>
      </c>
      <c r="E51">
        <v>4</v>
      </c>
      <c r="F51">
        <v>1</v>
      </c>
      <c r="G51">
        <f t="shared" ref="G51:G53" si="36">D51/(D51+E51)</f>
        <v>0.6</v>
      </c>
      <c r="H51">
        <f t="shared" ref="H51:H53" si="37">D51/(D51+F51)</f>
        <v>0.8571428571428571</v>
      </c>
      <c r="I51">
        <f t="shared" ref="I51:I53" si="38">2*G51*H51/(G51+H51)</f>
        <v>0.70588235294117641</v>
      </c>
    </row>
    <row r="52" spans="1:9" x14ac:dyDescent="0.45">
      <c r="A52" t="s">
        <v>141</v>
      </c>
      <c r="B52" t="s">
        <v>81</v>
      </c>
      <c r="C52" t="s">
        <v>9</v>
      </c>
      <c r="D52">
        <v>4</v>
      </c>
      <c r="E52">
        <v>2</v>
      </c>
      <c r="F52">
        <v>6</v>
      </c>
      <c r="G52">
        <f t="shared" si="36"/>
        <v>0.66666666666666663</v>
      </c>
      <c r="H52">
        <f t="shared" si="37"/>
        <v>0.4</v>
      </c>
      <c r="I52">
        <f t="shared" si="38"/>
        <v>0.5</v>
      </c>
    </row>
    <row r="53" spans="1:9" ht="14.65" thickBot="1" x14ac:dyDescent="0.5">
      <c r="A53" s="10" t="s">
        <v>141</v>
      </c>
      <c r="B53" s="10" t="s">
        <v>81</v>
      </c>
      <c r="C53" s="10" t="s">
        <v>10</v>
      </c>
      <c r="D53" s="10">
        <v>5</v>
      </c>
      <c r="E53" s="10">
        <v>6</v>
      </c>
      <c r="F53" s="10">
        <v>2</v>
      </c>
      <c r="G53" s="10">
        <f t="shared" si="36"/>
        <v>0.45454545454545453</v>
      </c>
      <c r="H53" s="10">
        <f t="shared" si="37"/>
        <v>0.7142857142857143</v>
      </c>
      <c r="I53" s="10">
        <f t="shared" si="38"/>
        <v>0.55555555555555558</v>
      </c>
    </row>
    <row r="54" spans="1:9" x14ac:dyDescent="0.45">
      <c r="A54" t="s">
        <v>145</v>
      </c>
      <c r="B54" t="s">
        <v>81</v>
      </c>
      <c r="C54" t="s">
        <v>7</v>
      </c>
      <c r="D54">
        <v>6</v>
      </c>
      <c r="E54">
        <v>3</v>
      </c>
      <c r="F54">
        <v>0</v>
      </c>
      <c r="G54">
        <f>D54/(D54+E54)</f>
        <v>0.66666666666666663</v>
      </c>
      <c r="H54">
        <f>D54/(D54+F54)</f>
        <v>1</v>
      </c>
      <c r="I54">
        <f>2*G54*H54/(G54+H54)</f>
        <v>0.8</v>
      </c>
    </row>
    <row r="55" spans="1:9" x14ac:dyDescent="0.45">
      <c r="A55" t="s">
        <v>145</v>
      </c>
      <c r="B55" t="s">
        <v>81</v>
      </c>
      <c r="C55" t="s">
        <v>8</v>
      </c>
      <c r="D55">
        <v>7</v>
      </c>
      <c r="E55">
        <v>4</v>
      </c>
      <c r="F55">
        <v>0</v>
      </c>
      <c r="G55">
        <f t="shared" ref="G55:G57" si="39">D55/(D55+E55)</f>
        <v>0.63636363636363635</v>
      </c>
      <c r="H55">
        <f t="shared" ref="H55:H57" si="40">D55/(D55+F55)</f>
        <v>1</v>
      </c>
      <c r="I55">
        <f t="shared" ref="I55:I57" si="41">2*G55*H55/(G55+H55)</f>
        <v>0.77777777777777779</v>
      </c>
    </row>
    <row r="56" spans="1:9" x14ac:dyDescent="0.45">
      <c r="A56" t="s">
        <v>145</v>
      </c>
      <c r="B56" t="s">
        <v>81</v>
      </c>
      <c r="C56" t="s">
        <v>9</v>
      </c>
      <c r="D56">
        <v>4</v>
      </c>
      <c r="E56">
        <v>4</v>
      </c>
      <c r="F56">
        <v>6</v>
      </c>
      <c r="G56">
        <f t="shared" si="39"/>
        <v>0.5</v>
      </c>
      <c r="H56">
        <f t="shared" si="40"/>
        <v>0.4</v>
      </c>
      <c r="I56">
        <f t="shared" si="41"/>
        <v>0.44444444444444448</v>
      </c>
    </row>
    <row r="57" spans="1:9" ht="14.65" thickBot="1" x14ac:dyDescent="0.5">
      <c r="A57" s="10" t="s">
        <v>145</v>
      </c>
      <c r="B57" s="10" t="s">
        <v>81</v>
      </c>
      <c r="C57" s="10" t="s">
        <v>10</v>
      </c>
      <c r="D57" s="10">
        <v>5</v>
      </c>
      <c r="E57" s="10">
        <v>5</v>
      </c>
      <c r="F57" s="10">
        <v>2</v>
      </c>
      <c r="G57" s="10">
        <f t="shared" si="39"/>
        <v>0.5</v>
      </c>
      <c r="H57" s="10">
        <f t="shared" si="40"/>
        <v>0.7142857142857143</v>
      </c>
      <c r="I57" s="10">
        <f t="shared" si="41"/>
        <v>0.58823529411764697</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96E32-6699-473F-9360-2ACF93ED7178}">
  <dimension ref="A1:Q15"/>
  <sheetViews>
    <sheetView zoomScale="55" zoomScaleNormal="55" workbookViewId="0">
      <pane ySplit="1" topLeftCell="A2" activePane="bottomLeft" state="frozen"/>
      <selection pane="bottomLeft" sqref="A1:Q2"/>
    </sheetView>
  </sheetViews>
  <sheetFormatPr defaultRowHeight="14.25" x14ac:dyDescent="0.45"/>
  <cols>
    <col min="2" max="2" width="17.265625" bestFit="1" customWidth="1"/>
    <col min="6" max="6" width="88.796875" style="7" customWidth="1"/>
    <col min="8" max="8" width="67.73046875" style="7" customWidth="1"/>
    <col min="10" max="10" width="17" customWidth="1"/>
    <col min="11" max="11" width="17.53125" customWidth="1"/>
    <col min="12" max="12" width="18" customWidth="1"/>
    <col min="13" max="13" width="24.1328125" customWidth="1"/>
    <col min="15" max="15" width="85.19921875" style="7" customWidth="1"/>
    <col min="17" max="17" width="14.86328125" bestFit="1" customWidth="1"/>
  </cols>
  <sheetData>
    <row r="1" spans="1:17" s="8" customFormat="1" ht="28.5" x14ac:dyDescent="0.45">
      <c r="A1" s="8" t="s">
        <v>40</v>
      </c>
      <c r="B1" s="9" t="s">
        <v>34</v>
      </c>
      <c r="C1" s="9" t="s">
        <v>23</v>
      </c>
      <c r="D1" s="9" t="s">
        <v>24</v>
      </c>
      <c r="E1" s="9" t="s">
        <v>25</v>
      </c>
      <c r="F1" s="9" t="s">
        <v>63</v>
      </c>
      <c r="G1" s="9" t="s">
        <v>26</v>
      </c>
      <c r="H1" s="9" t="s">
        <v>64</v>
      </c>
      <c r="I1" s="9" t="s">
        <v>43</v>
      </c>
      <c r="J1" s="9" t="s">
        <v>28</v>
      </c>
      <c r="K1" s="9" t="s">
        <v>27</v>
      </c>
      <c r="L1" s="9" t="s">
        <v>29</v>
      </c>
      <c r="M1" s="9" t="s">
        <v>30</v>
      </c>
      <c r="N1" s="9" t="s">
        <v>31</v>
      </c>
      <c r="O1" s="9" t="s">
        <v>65</v>
      </c>
      <c r="P1" s="9" t="s">
        <v>66</v>
      </c>
      <c r="Q1" s="8" t="s">
        <v>167</v>
      </c>
    </row>
    <row r="2" spans="1:17" ht="258" customHeight="1" x14ac:dyDescent="0.45">
      <c r="A2" t="s">
        <v>81</v>
      </c>
      <c r="B2" t="s">
        <v>96</v>
      </c>
      <c r="C2">
        <v>0.8</v>
      </c>
      <c r="D2">
        <v>0.7</v>
      </c>
      <c r="E2">
        <f>(C2+D2)/2</f>
        <v>0.75</v>
      </c>
      <c r="F2" s="7" t="s">
        <v>97</v>
      </c>
      <c r="G2">
        <v>0.6</v>
      </c>
      <c r="H2" s="7" t="s">
        <v>98</v>
      </c>
      <c r="I2">
        <v>0.83</v>
      </c>
      <c r="J2">
        <v>0.8</v>
      </c>
      <c r="K2">
        <v>0.7</v>
      </c>
      <c r="L2">
        <v>0.9</v>
      </c>
      <c r="M2">
        <v>0.6</v>
      </c>
      <c r="N2">
        <f t="shared" ref="N2:N6" si="0">(J2+K2+L2+M2)/4</f>
        <v>0.75</v>
      </c>
      <c r="O2" s="7" t="s">
        <v>99</v>
      </c>
      <c r="P2" t="s">
        <v>149</v>
      </c>
      <c r="Q2">
        <f>(E2+(G2+M2)/2+(I2+J2+K2)/3+L2)/4</f>
        <v>0.75666666666666671</v>
      </c>
    </row>
    <row r="3" spans="1:17" ht="180.75" customHeight="1" x14ac:dyDescent="0.45">
      <c r="A3" t="s">
        <v>81</v>
      </c>
      <c r="B3" t="s">
        <v>100</v>
      </c>
      <c r="C3">
        <v>0.8</v>
      </c>
      <c r="D3">
        <v>0.9</v>
      </c>
      <c r="E3">
        <f t="shared" ref="E3:E15" si="1">(C3+D3)/2</f>
        <v>0.85000000000000009</v>
      </c>
      <c r="F3" s="7" t="s">
        <v>101</v>
      </c>
      <c r="G3">
        <v>0.8</v>
      </c>
      <c r="H3" s="7" t="s">
        <v>102</v>
      </c>
      <c r="I3">
        <v>0.86</v>
      </c>
      <c r="J3">
        <v>0.8</v>
      </c>
      <c r="K3">
        <v>0.7</v>
      </c>
      <c r="L3">
        <v>0.9</v>
      </c>
      <c r="M3">
        <v>0.6</v>
      </c>
      <c r="N3">
        <f t="shared" si="0"/>
        <v>0.75</v>
      </c>
      <c r="O3" s="7" t="s">
        <v>103</v>
      </c>
      <c r="P3" t="s">
        <v>150</v>
      </c>
      <c r="Q3">
        <f>(E3+(G3+M3)/2+(I3+J3+K3)/3+L3)/4</f>
        <v>0.8091666666666667</v>
      </c>
    </row>
    <row r="4" spans="1:17" ht="71.25" x14ac:dyDescent="0.45">
      <c r="A4" t="s">
        <v>81</v>
      </c>
      <c r="B4" t="s">
        <v>104</v>
      </c>
      <c r="C4">
        <v>0.8</v>
      </c>
      <c r="D4">
        <v>0.9</v>
      </c>
      <c r="E4">
        <f t="shared" si="1"/>
        <v>0.85000000000000009</v>
      </c>
      <c r="F4" s="7" t="s">
        <v>105</v>
      </c>
      <c r="G4">
        <v>0.6</v>
      </c>
      <c r="H4" s="7" t="s">
        <v>106</v>
      </c>
      <c r="I4">
        <v>0.88</v>
      </c>
      <c r="J4">
        <v>0.8</v>
      </c>
      <c r="K4">
        <v>0.7</v>
      </c>
      <c r="L4">
        <v>0.9</v>
      </c>
      <c r="M4">
        <v>0.6</v>
      </c>
      <c r="N4">
        <f t="shared" si="0"/>
        <v>0.75</v>
      </c>
      <c r="O4" s="7" t="s">
        <v>107</v>
      </c>
      <c r="P4" t="s">
        <v>151</v>
      </c>
      <c r="Q4">
        <f t="shared" ref="Q4:Q15" si="2">(E4+(G4+M4)/2+(I4+J4+K4)/3+L4)/4</f>
        <v>0.78583333333333338</v>
      </c>
    </row>
    <row r="5" spans="1:17" ht="99.75" x14ac:dyDescent="0.45">
      <c r="A5" t="s">
        <v>81</v>
      </c>
      <c r="B5" t="s">
        <v>108</v>
      </c>
      <c r="C5">
        <v>0.8</v>
      </c>
      <c r="D5">
        <v>0.6</v>
      </c>
      <c r="E5">
        <f t="shared" si="1"/>
        <v>0.7</v>
      </c>
      <c r="F5" s="7" t="s">
        <v>109</v>
      </c>
      <c r="G5">
        <v>0.8</v>
      </c>
      <c r="H5" s="7" t="s">
        <v>110</v>
      </c>
      <c r="I5">
        <v>0.75</v>
      </c>
      <c r="J5">
        <v>0.8</v>
      </c>
      <c r="K5">
        <v>0.7</v>
      </c>
      <c r="L5">
        <v>0.6</v>
      </c>
      <c r="M5">
        <v>0.9</v>
      </c>
      <c r="N5">
        <f t="shared" si="0"/>
        <v>0.75</v>
      </c>
      <c r="O5" s="7" t="s">
        <v>166</v>
      </c>
      <c r="P5" s="7" t="s">
        <v>152</v>
      </c>
      <c r="Q5">
        <f t="shared" si="2"/>
        <v>0.72499999999999998</v>
      </c>
    </row>
    <row r="6" spans="1:17" ht="85.5" x14ac:dyDescent="0.45">
      <c r="A6" t="s">
        <v>81</v>
      </c>
      <c r="B6" t="s">
        <v>163</v>
      </c>
      <c r="C6">
        <v>0.8</v>
      </c>
      <c r="D6">
        <v>0.7</v>
      </c>
      <c r="E6">
        <f t="shared" si="1"/>
        <v>0.75</v>
      </c>
      <c r="F6" s="7" t="s">
        <v>111</v>
      </c>
      <c r="G6">
        <v>0.8</v>
      </c>
      <c r="H6" s="7" t="s">
        <v>112</v>
      </c>
      <c r="I6">
        <v>0.76</v>
      </c>
      <c r="J6">
        <v>0.8</v>
      </c>
      <c r="K6">
        <v>0.9</v>
      </c>
      <c r="L6">
        <v>0.7</v>
      </c>
      <c r="M6">
        <v>0.6</v>
      </c>
      <c r="N6">
        <f t="shared" si="0"/>
        <v>0.75000000000000011</v>
      </c>
      <c r="O6" s="7" t="s">
        <v>113</v>
      </c>
      <c r="P6" t="s">
        <v>153</v>
      </c>
      <c r="Q6">
        <f t="shared" si="2"/>
        <v>0.74249999999999994</v>
      </c>
    </row>
    <row r="7" spans="1:17" ht="81.75" customHeight="1" x14ac:dyDescent="0.45">
      <c r="A7" t="s">
        <v>81</v>
      </c>
      <c r="B7" t="s">
        <v>165</v>
      </c>
      <c r="C7">
        <v>0.85</v>
      </c>
      <c r="D7">
        <v>0.9</v>
      </c>
      <c r="E7">
        <f t="shared" si="1"/>
        <v>0.875</v>
      </c>
      <c r="F7" s="7" t="s">
        <v>114</v>
      </c>
      <c r="G7">
        <v>0.7</v>
      </c>
      <c r="H7" s="7" t="s">
        <v>115</v>
      </c>
      <c r="I7">
        <v>0.87</v>
      </c>
      <c r="J7">
        <v>0.8</v>
      </c>
      <c r="K7">
        <v>0.7</v>
      </c>
      <c r="L7">
        <v>0.9</v>
      </c>
      <c r="M7">
        <v>0.6</v>
      </c>
      <c r="N7">
        <f>(J7+K7+L7+M7)/4</f>
        <v>0.75</v>
      </c>
      <c r="O7" s="7" t="s">
        <v>116</v>
      </c>
      <c r="P7" t="s">
        <v>154</v>
      </c>
      <c r="Q7">
        <f t="shared" si="2"/>
        <v>0.80374999999999996</v>
      </c>
    </row>
    <row r="8" spans="1:17" ht="120.75" customHeight="1" x14ac:dyDescent="0.45">
      <c r="A8" t="s">
        <v>81</v>
      </c>
      <c r="B8" t="s">
        <v>117</v>
      </c>
      <c r="C8">
        <v>0.8</v>
      </c>
      <c r="D8">
        <v>0.6</v>
      </c>
      <c r="E8">
        <f t="shared" si="1"/>
        <v>0.7</v>
      </c>
      <c r="F8" s="7" t="s">
        <v>118</v>
      </c>
      <c r="G8">
        <v>0.7</v>
      </c>
      <c r="H8" s="7" t="s">
        <v>119</v>
      </c>
      <c r="I8">
        <v>0.87</v>
      </c>
      <c r="J8">
        <v>0.8</v>
      </c>
      <c r="K8">
        <v>0.7</v>
      </c>
      <c r="L8">
        <v>0.9</v>
      </c>
      <c r="M8">
        <v>0.6</v>
      </c>
      <c r="N8">
        <f t="shared" ref="N8:N15" si="3">(J8+K8+L8+M8)/4</f>
        <v>0.75</v>
      </c>
      <c r="O8" s="7" t="s">
        <v>120</v>
      </c>
      <c r="P8" t="s">
        <v>155</v>
      </c>
      <c r="Q8">
        <f>(E8+(G8+M8)/2+(I8+J8+K8)/3+L8)/4</f>
        <v>0.7599999999999999</v>
      </c>
    </row>
    <row r="9" spans="1:17" ht="164.25" customHeight="1" x14ac:dyDescent="0.45">
      <c r="A9" t="s">
        <v>81</v>
      </c>
      <c r="B9" t="s">
        <v>121</v>
      </c>
      <c r="C9">
        <v>0.8</v>
      </c>
      <c r="D9">
        <v>0.7</v>
      </c>
      <c r="E9">
        <f t="shared" si="1"/>
        <v>0.75</v>
      </c>
      <c r="F9" s="7" t="s">
        <v>122</v>
      </c>
      <c r="G9">
        <v>0.7</v>
      </c>
      <c r="H9" s="7" t="s">
        <v>123</v>
      </c>
      <c r="I9">
        <v>0.88</v>
      </c>
      <c r="J9">
        <v>0.9</v>
      </c>
      <c r="K9">
        <v>0.8</v>
      </c>
      <c r="L9">
        <v>0.7</v>
      </c>
      <c r="M9">
        <v>0.85</v>
      </c>
      <c r="N9">
        <f t="shared" si="3"/>
        <v>0.81250000000000011</v>
      </c>
      <c r="O9" s="7" t="s">
        <v>124</v>
      </c>
      <c r="P9" t="s">
        <v>156</v>
      </c>
      <c r="Q9">
        <f t="shared" si="2"/>
        <v>0.77124999999999999</v>
      </c>
    </row>
    <row r="10" spans="1:17" ht="126" customHeight="1" x14ac:dyDescent="0.45">
      <c r="A10" t="s">
        <v>81</v>
      </c>
      <c r="B10" t="s">
        <v>125</v>
      </c>
      <c r="C10">
        <v>0.8</v>
      </c>
      <c r="D10">
        <v>0.9</v>
      </c>
      <c r="E10">
        <f t="shared" si="1"/>
        <v>0.85000000000000009</v>
      </c>
      <c r="F10" s="7" t="s">
        <v>126</v>
      </c>
      <c r="G10">
        <v>0.6</v>
      </c>
      <c r="H10" s="7" t="s">
        <v>127</v>
      </c>
      <c r="I10">
        <v>0.86</v>
      </c>
      <c r="J10">
        <v>0.7</v>
      </c>
      <c r="K10">
        <v>0.8</v>
      </c>
      <c r="L10">
        <v>0.9</v>
      </c>
      <c r="M10">
        <v>0.5</v>
      </c>
      <c r="N10">
        <f t="shared" si="3"/>
        <v>0.72499999999999998</v>
      </c>
      <c r="O10" s="7" t="s">
        <v>128</v>
      </c>
      <c r="P10" t="s">
        <v>157</v>
      </c>
      <c r="Q10">
        <f t="shared" si="2"/>
        <v>0.77166666666666672</v>
      </c>
    </row>
    <row r="11" spans="1:17" ht="147.75" customHeight="1" x14ac:dyDescent="0.45">
      <c r="A11" t="s">
        <v>81</v>
      </c>
      <c r="B11" t="s">
        <v>129</v>
      </c>
      <c r="C11">
        <v>0.8</v>
      </c>
      <c r="D11">
        <v>0.9</v>
      </c>
      <c r="E11">
        <f t="shared" si="1"/>
        <v>0.85000000000000009</v>
      </c>
      <c r="F11" s="7" t="s">
        <v>130</v>
      </c>
      <c r="G11">
        <v>0.7</v>
      </c>
      <c r="H11" s="7" t="s">
        <v>131</v>
      </c>
      <c r="I11">
        <v>0.87</v>
      </c>
      <c r="J11">
        <v>0.8</v>
      </c>
      <c r="K11">
        <v>0.7</v>
      </c>
      <c r="L11">
        <v>0.9</v>
      </c>
      <c r="M11">
        <v>0.6</v>
      </c>
      <c r="N11">
        <f t="shared" si="3"/>
        <v>0.75</v>
      </c>
      <c r="O11" s="7" t="s">
        <v>132</v>
      </c>
      <c r="P11" t="s">
        <v>158</v>
      </c>
      <c r="Q11">
        <f t="shared" si="2"/>
        <v>0.79749999999999999</v>
      </c>
    </row>
    <row r="12" spans="1:17" ht="234.75" customHeight="1" x14ac:dyDescent="0.45">
      <c r="A12" t="s">
        <v>81</v>
      </c>
      <c r="B12" t="s">
        <v>133</v>
      </c>
      <c r="C12">
        <v>0.8</v>
      </c>
      <c r="D12">
        <v>0.7</v>
      </c>
      <c r="E12">
        <f t="shared" si="1"/>
        <v>0.75</v>
      </c>
      <c r="F12" s="7" t="s">
        <v>134</v>
      </c>
      <c r="G12">
        <v>0.6</v>
      </c>
      <c r="H12" s="7" t="s">
        <v>135</v>
      </c>
      <c r="I12">
        <v>0.66</v>
      </c>
      <c r="J12">
        <v>0.9</v>
      </c>
      <c r="K12">
        <v>0.8</v>
      </c>
      <c r="L12">
        <v>0.85</v>
      </c>
      <c r="M12">
        <v>0.7</v>
      </c>
      <c r="N12">
        <f t="shared" si="3"/>
        <v>0.8125</v>
      </c>
      <c r="O12" s="7" t="s">
        <v>136</v>
      </c>
      <c r="P12" t="s">
        <v>159</v>
      </c>
      <c r="Q12">
        <f t="shared" si="2"/>
        <v>0.75916666666666666</v>
      </c>
    </row>
    <row r="13" spans="1:17" ht="134.25" customHeight="1" x14ac:dyDescent="0.45">
      <c r="A13" t="s">
        <v>81</v>
      </c>
      <c r="B13" t="s">
        <v>137</v>
      </c>
      <c r="C13">
        <v>0.8</v>
      </c>
      <c r="D13">
        <v>0.6</v>
      </c>
      <c r="E13">
        <f t="shared" si="1"/>
        <v>0.7</v>
      </c>
      <c r="F13" s="7" t="s">
        <v>138</v>
      </c>
      <c r="G13">
        <v>0.7</v>
      </c>
      <c r="H13" s="7" t="s">
        <v>139</v>
      </c>
      <c r="I13">
        <v>0.88</v>
      </c>
      <c r="J13">
        <v>0.8</v>
      </c>
      <c r="K13">
        <v>0.7</v>
      </c>
      <c r="L13">
        <v>0.9</v>
      </c>
      <c r="M13">
        <v>0.6</v>
      </c>
      <c r="N13">
        <f t="shared" si="3"/>
        <v>0.75</v>
      </c>
      <c r="O13" s="7" t="s">
        <v>140</v>
      </c>
      <c r="P13" t="s">
        <v>160</v>
      </c>
      <c r="Q13">
        <f t="shared" si="2"/>
        <v>0.76083333333333325</v>
      </c>
    </row>
    <row r="14" spans="1:17" ht="156" customHeight="1" x14ac:dyDescent="0.45">
      <c r="A14" t="s">
        <v>81</v>
      </c>
      <c r="B14" t="s">
        <v>141</v>
      </c>
      <c r="C14">
        <v>0.85</v>
      </c>
      <c r="D14">
        <v>0.9</v>
      </c>
      <c r="E14">
        <f t="shared" si="1"/>
        <v>0.875</v>
      </c>
      <c r="F14" s="7" t="s">
        <v>142</v>
      </c>
      <c r="G14">
        <v>0.8</v>
      </c>
      <c r="H14" s="7" t="s">
        <v>143</v>
      </c>
      <c r="I14">
        <v>0.93</v>
      </c>
      <c r="J14">
        <v>0.8</v>
      </c>
      <c r="K14">
        <v>0.7</v>
      </c>
      <c r="L14">
        <v>0.9</v>
      </c>
      <c r="M14">
        <v>0.6</v>
      </c>
      <c r="N14">
        <f t="shared" si="3"/>
        <v>0.75</v>
      </c>
      <c r="O14" s="7" t="s">
        <v>144</v>
      </c>
      <c r="P14" t="s">
        <v>161</v>
      </c>
      <c r="Q14">
        <f t="shared" si="2"/>
        <v>0.82124999999999992</v>
      </c>
    </row>
    <row r="15" spans="1:17" ht="132.85" customHeight="1" x14ac:dyDescent="0.45">
      <c r="A15" t="s">
        <v>81</v>
      </c>
      <c r="B15" t="s">
        <v>145</v>
      </c>
      <c r="C15">
        <v>0.8</v>
      </c>
      <c r="D15">
        <v>0.7</v>
      </c>
      <c r="E15">
        <f t="shared" si="1"/>
        <v>0.75</v>
      </c>
      <c r="F15" s="7" t="s">
        <v>146</v>
      </c>
      <c r="G15">
        <v>0.7</v>
      </c>
      <c r="H15" s="7" t="s">
        <v>147</v>
      </c>
      <c r="I15">
        <v>0.93</v>
      </c>
      <c r="J15">
        <v>0.8</v>
      </c>
      <c r="K15">
        <v>0.9</v>
      </c>
      <c r="L15">
        <v>0.7</v>
      </c>
      <c r="M15">
        <v>0.85</v>
      </c>
      <c r="N15">
        <f t="shared" si="3"/>
        <v>0.81250000000000011</v>
      </c>
      <c r="O15" s="7" t="s">
        <v>148</v>
      </c>
      <c r="P15" t="s">
        <v>161</v>
      </c>
      <c r="Q15">
        <f t="shared" si="2"/>
        <v>0.77541666666666664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39470-7C5D-404D-9FE9-2C9965CFC783}">
  <dimension ref="A1:I17"/>
  <sheetViews>
    <sheetView workbookViewId="0">
      <selection activeCell="I3" sqref="I3"/>
    </sheetView>
  </sheetViews>
  <sheetFormatPr defaultRowHeight="14.25" x14ac:dyDescent="0.45"/>
  <cols>
    <col min="1" max="1" width="17.1328125" bestFit="1" customWidth="1"/>
    <col min="2" max="2" width="18.33203125" bestFit="1" customWidth="1"/>
  </cols>
  <sheetData>
    <row r="1" spans="1:9" ht="14.65" thickBot="1" x14ac:dyDescent="0.5">
      <c r="A1" s="10" t="s">
        <v>168</v>
      </c>
      <c r="B1" s="10" t="s">
        <v>169</v>
      </c>
      <c r="C1" s="10" t="s">
        <v>35</v>
      </c>
      <c r="D1" s="10" t="s">
        <v>36</v>
      </c>
      <c r="E1" s="10" t="s">
        <v>37</v>
      </c>
      <c r="F1" s="10" t="s">
        <v>38</v>
      </c>
      <c r="G1" s="10" t="s">
        <v>19</v>
      </c>
      <c r="H1" s="10" t="s">
        <v>20</v>
      </c>
      <c r="I1" s="10" t="s">
        <v>21</v>
      </c>
    </row>
    <row r="2" spans="1:9" x14ac:dyDescent="0.45">
      <c r="A2">
        <v>1</v>
      </c>
      <c r="B2" t="s">
        <v>170</v>
      </c>
      <c r="C2" t="s">
        <v>7</v>
      </c>
      <c r="D2">
        <v>6</v>
      </c>
      <c r="E2">
        <v>3</v>
      </c>
      <c r="F2">
        <v>0</v>
      </c>
      <c r="G2">
        <f>D2/(D2+E2)</f>
        <v>0.66666666666666663</v>
      </c>
      <c r="H2">
        <f>D2/(D2+F2)</f>
        <v>1</v>
      </c>
      <c r="I2">
        <f>2*G2*H2/(G2+H2)</f>
        <v>0.8</v>
      </c>
    </row>
    <row r="3" spans="1:9" x14ac:dyDescent="0.45">
      <c r="A3">
        <v>1</v>
      </c>
      <c r="B3" t="s">
        <v>170</v>
      </c>
      <c r="C3" t="s">
        <v>8</v>
      </c>
      <c r="D3">
        <v>7</v>
      </c>
      <c r="E3">
        <v>3</v>
      </c>
      <c r="F3">
        <v>0</v>
      </c>
      <c r="G3">
        <f t="shared" ref="G3:G5" si="0">D3/(D3+E3)</f>
        <v>0.7</v>
      </c>
      <c r="H3">
        <f t="shared" ref="H3:H5" si="1">D3/(D3+F3)</f>
        <v>1</v>
      </c>
      <c r="I3">
        <f t="shared" ref="I3:I5" si="2">2*G3*H3/(G3+H3)</f>
        <v>0.82352941176470584</v>
      </c>
    </row>
    <row r="4" spans="1:9" x14ac:dyDescent="0.45">
      <c r="A4">
        <v>1</v>
      </c>
      <c r="B4" t="s">
        <v>170</v>
      </c>
      <c r="C4" t="s">
        <v>9</v>
      </c>
      <c r="D4">
        <v>6</v>
      </c>
      <c r="E4">
        <v>8</v>
      </c>
      <c r="F4">
        <v>4</v>
      </c>
      <c r="G4">
        <f t="shared" si="0"/>
        <v>0.42857142857142855</v>
      </c>
      <c r="H4">
        <f t="shared" si="1"/>
        <v>0.6</v>
      </c>
      <c r="I4">
        <f t="shared" si="2"/>
        <v>0.5</v>
      </c>
    </row>
    <row r="5" spans="1:9" ht="14.65" thickBot="1" x14ac:dyDescent="0.5">
      <c r="A5" s="10">
        <v>1</v>
      </c>
      <c r="B5" s="10" t="s">
        <v>170</v>
      </c>
      <c r="C5" s="10" t="s">
        <v>10</v>
      </c>
      <c r="D5" s="10">
        <v>7</v>
      </c>
      <c r="E5" s="10">
        <v>13</v>
      </c>
      <c r="F5" s="10">
        <v>0</v>
      </c>
      <c r="G5" s="10">
        <f t="shared" si="0"/>
        <v>0.35</v>
      </c>
      <c r="H5" s="10">
        <f t="shared" si="1"/>
        <v>1</v>
      </c>
      <c r="I5" s="10">
        <f t="shared" si="2"/>
        <v>0.51851851851851849</v>
      </c>
    </row>
    <row r="6" spans="1:9" x14ac:dyDescent="0.45">
      <c r="A6">
        <v>2</v>
      </c>
      <c r="B6" t="s">
        <v>170</v>
      </c>
      <c r="C6" t="s">
        <v>7</v>
      </c>
      <c r="D6">
        <v>6</v>
      </c>
      <c r="E6">
        <v>6</v>
      </c>
      <c r="F6">
        <v>0</v>
      </c>
      <c r="G6">
        <f>D6/(D6+E6)</f>
        <v>0.5</v>
      </c>
      <c r="H6">
        <f>D6/(D6+F6)</f>
        <v>1</v>
      </c>
      <c r="I6">
        <f>2*G6*H6/(G6+H6)</f>
        <v>0.66666666666666663</v>
      </c>
    </row>
    <row r="7" spans="1:9" x14ac:dyDescent="0.45">
      <c r="A7">
        <v>2</v>
      </c>
      <c r="B7" t="s">
        <v>170</v>
      </c>
      <c r="C7" t="s">
        <v>8</v>
      </c>
      <c r="D7">
        <v>7</v>
      </c>
      <c r="E7">
        <v>12</v>
      </c>
      <c r="F7">
        <v>0</v>
      </c>
      <c r="G7">
        <f t="shared" ref="G7:G9" si="3">D7/(D7+E7)</f>
        <v>0.36842105263157893</v>
      </c>
      <c r="H7">
        <f t="shared" ref="H7:H9" si="4">D7/(D7+F7)</f>
        <v>1</v>
      </c>
      <c r="I7">
        <f t="shared" ref="I7:I9" si="5">2*G7*H7/(G7+H7)</f>
        <v>0.53846153846153844</v>
      </c>
    </row>
    <row r="8" spans="1:9" x14ac:dyDescent="0.45">
      <c r="A8">
        <v>2</v>
      </c>
      <c r="B8" t="s">
        <v>170</v>
      </c>
      <c r="C8" t="s">
        <v>9</v>
      </c>
      <c r="D8">
        <v>6</v>
      </c>
      <c r="E8">
        <v>22</v>
      </c>
      <c r="F8">
        <v>4</v>
      </c>
      <c r="G8">
        <f t="shared" si="3"/>
        <v>0.21428571428571427</v>
      </c>
      <c r="H8">
        <f t="shared" si="4"/>
        <v>0.6</v>
      </c>
      <c r="I8">
        <f t="shared" si="5"/>
        <v>0.31578947368421051</v>
      </c>
    </row>
    <row r="9" spans="1:9" ht="14.65" thickBot="1" x14ac:dyDescent="0.5">
      <c r="A9" s="10">
        <v>2</v>
      </c>
      <c r="B9" s="10" t="s">
        <v>170</v>
      </c>
      <c r="C9" s="10" t="s">
        <v>10</v>
      </c>
      <c r="D9" s="10">
        <v>7</v>
      </c>
      <c r="E9" s="10">
        <v>21</v>
      </c>
      <c r="F9" s="10">
        <v>0</v>
      </c>
      <c r="G9" s="10">
        <f t="shared" si="3"/>
        <v>0.25</v>
      </c>
      <c r="H9" s="10">
        <f t="shared" si="4"/>
        <v>1</v>
      </c>
      <c r="I9" s="10">
        <f t="shared" si="5"/>
        <v>0.4</v>
      </c>
    </row>
    <row r="10" spans="1:9" x14ac:dyDescent="0.45">
      <c r="A10">
        <v>3</v>
      </c>
      <c r="B10" t="s">
        <v>170</v>
      </c>
      <c r="C10" t="s">
        <v>7</v>
      </c>
      <c r="D10">
        <v>6</v>
      </c>
      <c r="E10">
        <v>7</v>
      </c>
      <c r="F10">
        <v>0</v>
      </c>
      <c r="G10">
        <f>D10/(D10+E10)</f>
        <v>0.46153846153846156</v>
      </c>
      <c r="H10">
        <f>D10/(D10+F10)</f>
        <v>1</v>
      </c>
      <c r="I10">
        <f>2*G10*H10/(G10+H10)</f>
        <v>0.63157894736842102</v>
      </c>
    </row>
    <row r="11" spans="1:9" x14ac:dyDescent="0.45">
      <c r="A11">
        <v>3</v>
      </c>
      <c r="B11" t="s">
        <v>170</v>
      </c>
      <c r="C11" t="s">
        <v>8</v>
      </c>
      <c r="D11">
        <v>7</v>
      </c>
      <c r="E11">
        <v>13</v>
      </c>
      <c r="F11">
        <v>0</v>
      </c>
      <c r="G11">
        <f t="shared" ref="G11:G13" si="6">D11/(D11+E11)</f>
        <v>0.35</v>
      </c>
      <c r="H11">
        <f t="shared" ref="H11:H13" si="7">D11/(D11+F11)</f>
        <v>1</v>
      </c>
      <c r="I11">
        <f t="shared" ref="I11:I13" si="8">2*G11*H11/(G11+H11)</f>
        <v>0.51851851851851849</v>
      </c>
    </row>
    <row r="12" spans="1:9" x14ac:dyDescent="0.45">
      <c r="A12">
        <v>3</v>
      </c>
      <c r="B12" t="s">
        <v>170</v>
      </c>
      <c r="C12" t="s">
        <v>9</v>
      </c>
      <c r="D12">
        <v>6</v>
      </c>
      <c r="E12">
        <v>23</v>
      </c>
      <c r="F12">
        <v>4</v>
      </c>
      <c r="G12">
        <f t="shared" si="6"/>
        <v>0.20689655172413793</v>
      </c>
      <c r="H12">
        <f t="shared" si="7"/>
        <v>0.6</v>
      </c>
      <c r="I12">
        <f t="shared" si="8"/>
        <v>0.30769230769230771</v>
      </c>
    </row>
    <row r="13" spans="1:9" ht="14.65" thickBot="1" x14ac:dyDescent="0.5">
      <c r="A13" s="10">
        <v>3</v>
      </c>
      <c r="B13" s="10" t="s">
        <v>170</v>
      </c>
      <c r="C13" s="10" t="s">
        <v>10</v>
      </c>
      <c r="D13" s="10">
        <v>7</v>
      </c>
      <c r="E13" s="10">
        <v>35</v>
      </c>
      <c r="F13" s="10">
        <v>0</v>
      </c>
      <c r="G13" s="10">
        <f t="shared" si="6"/>
        <v>0.16666666666666666</v>
      </c>
      <c r="H13" s="10">
        <f t="shared" si="7"/>
        <v>1</v>
      </c>
      <c r="I13" s="10">
        <f t="shared" si="8"/>
        <v>0.2857142857142857</v>
      </c>
    </row>
    <row r="14" spans="1:9" x14ac:dyDescent="0.45">
      <c r="A14">
        <v>4</v>
      </c>
      <c r="B14" t="s">
        <v>170</v>
      </c>
      <c r="C14" t="s">
        <v>7</v>
      </c>
      <c r="D14">
        <v>6</v>
      </c>
      <c r="E14">
        <v>7</v>
      </c>
      <c r="F14">
        <v>0</v>
      </c>
      <c r="G14">
        <f>D14/(D14+E14)</f>
        <v>0.46153846153846156</v>
      </c>
      <c r="H14">
        <f>D14/(D14+F14)</f>
        <v>1</v>
      </c>
      <c r="I14">
        <f>2*G14*H14/(G14+H14)</f>
        <v>0.63157894736842102</v>
      </c>
    </row>
    <row r="15" spans="1:9" x14ac:dyDescent="0.45">
      <c r="A15">
        <v>4</v>
      </c>
      <c r="B15" t="s">
        <v>170</v>
      </c>
      <c r="C15" t="s">
        <v>8</v>
      </c>
      <c r="D15">
        <v>7</v>
      </c>
      <c r="E15">
        <v>15</v>
      </c>
      <c r="F15">
        <v>0</v>
      </c>
      <c r="G15">
        <f t="shared" ref="G15:G17" si="9">D15/(D15+E15)</f>
        <v>0.31818181818181818</v>
      </c>
      <c r="H15">
        <f t="shared" ref="H15:H17" si="10">D15/(D15+F15)</f>
        <v>1</v>
      </c>
      <c r="I15">
        <f t="shared" ref="I15:I17" si="11">2*G15*H15/(G15+H15)</f>
        <v>0.48275862068965519</v>
      </c>
    </row>
    <row r="16" spans="1:9" x14ac:dyDescent="0.45">
      <c r="A16">
        <v>4</v>
      </c>
      <c r="B16" t="s">
        <v>170</v>
      </c>
      <c r="C16" t="s">
        <v>9</v>
      </c>
      <c r="D16">
        <v>6</v>
      </c>
      <c r="E16">
        <v>32</v>
      </c>
      <c r="F16">
        <v>4</v>
      </c>
      <c r="G16">
        <f t="shared" si="9"/>
        <v>0.15789473684210525</v>
      </c>
      <c r="H16">
        <f t="shared" si="10"/>
        <v>0.6</v>
      </c>
      <c r="I16">
        <f t="shared" si="11"/>
        <v>0.25</v>
      </c>
    </row>
    <row r="17" spans="1:9" ht="14.65" thickBot="1" x14ac:dyDescent="0.5">
      <c r="A17" s="10">
        <v>4</v>
      </c>
      <c r="B17" s="10" t="s">
        <v>170</v>
      </c>
      <c r="C17" s="10" t="s">
        <v>10</v>
      </c>
      <c r="D17" s="10">
        <v>7</v>
      </c>
      <c r="E17" s="10">
        <v>44</v>
      </c>
      <c r="F17" s="10">
        <v>0</v>
      </c>
      <c r="G17" s="10">
        <f t="shared" si="9"/>
        <v>0.13725490196078433</v>
      </c>
      <c r="H17" s="10">
        <f t="shared" si="10"/>
        <v>1</v>
      </c>
      <c r="I17" s="10">
        <f t="shared" si="11"/>
        <v>0.24137931034482762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1055-CC55-4BB5-AA73-30142335D4A4}">
  <dimension ref="A1:Q10"/>
  <sheetViews>
    <sheetView topLeftCell="K1" workbookViewId="0">
      <pane ySplit="1" topLeftCell="A2" activePane="bottomLeft" state="frozen"/>
      <selection pane="bottomLeft" activeCell="Q2" sqref="Q2"/>
    </sheetView>
  </sheetViews>
  <sheetFormatPr defaultRowHeight="14.25" x14ac:dyDescent="0.45"/>
  <cols>
    <col min="2" max="2" width="18.33203125" bestFit="1" customWidth="1"/>
    <col min="4" max="4" width="14.3984375" customWidth="1"/>
    <col min="6" max="6" width="39.6640625" bestFit="1" customWidth="1"/>
    <col min="8" max="8" width="59.796875" bestFit="1" customWidth="1"/>
    <col min="15" max="15" width="20.59765625" bestFit="1" customWidth="1"/>
    <col min="16" max="16" width="5.9296875" bestFit="1" customWidth="1"/>
    <col min="17" max="17" width="11.73046875" bestFit="1" customWidth="1"/>
  </cols>
  <sheetData>
    <row r="1" spans="1:17" ht="43.15" thickBot="1" x14ac:dyDescent="0.5">
      <c r="A1" s="10" t="s">
        <v>168</v>
      </c>
      <c r="B1" s="10" t="s">
        <v>169</v>
      </c>
      <c r="C1" s="11" t="s">
        <v>23</v>
      </c>
      <c r="D1" s="11" t="s">
        <v>24</v>
      </c>
      <c r="E1" s="11" t="s">
        <v>25</v>
      </c>
      <c r="F1" s="11" t="s">
        <v>63</v>
      </c>
      <c r="G1" s="11" t="s">
        <v>26</v>
      </c>
      <c r="H1" s="11" t="s">
        <v>64</v>
      </c>
      <c r="I1" s="11" t="s">
        <v>43</v>
      </c>
      <c r="J1" s="11" t="s">
        <v>28</v>
      </c>
      <c r="K1" s="11" t="s">
        <v>27</v>
      </c>
      <c r="L1" s="11" t="s">
        <v>29</v>
      </c>
      <c r="M1" s="11" t="s">
        <v>30</v>
      </c>
      <c r="N1" s="11" t="s">
        <v>31</v>
      </c>
      <c r="O1" s="11" t="s">
        <v>65</v>
      </c>
      <c r="P1" s="11" t="s">
        <v>66</v>
      </c>
      <c r="Q1" s="12" t="s">
        <v>167</v>
      </c>
    </row>
    <row r="2" spans="1:17" ht="242.65" thickBot="1" x14ac:dyDescent="0.5">
      <c r="A2" s="13" t="s">
        <v>181</v>
      </c>
      <c r="B2" s="13" t="s">
        <v>170</v>
      </c>
      <c r="C2" s="13">
        <v>0.8</v>
      </c>
      <c r="D2" s="13">
        <v>0.7</v>
      </c>
      <c r="E2" s="13">
        <f>(C2+D2)/2</f>
        <v>0.75</v>
      </c>
      <c r="F2" s="14" t="s">
        <v>171</v>
      </c>
      <c r="G2" s="13">
        <v>0.6</v>
      </c>
      <c r="H2" s="14" t="s">
        <v>172</v>
      </c>
      <c r="I2" s="13">
        <v>0.96</v>
      </c>
      <c r="J2" s="13">
        <v>0.8</v>
      </c>
      <c r="K2" s="13">
        <v>0.9</v>
      </c>
      <c r="L2" s="13">
        <v>0.7</v>
      </c>
      <c r="M2" s="13">
        <v>0.85</v>
      </c>
      <c r="N2" s="13">
        <f t="shared" ref="N2" si="0">(J2+K2+L2+M2)/4</f>
        <v>0.81250000000000011</v>
      </c>
      <c r="O2" s="14" t="s">
        <v>173</v>
      </c>
      <c r="P2" s="13">
        <v>0.378</v>
      </c>
      <c r="Q2" s="13">
        <f>(E2+(G2+M2)/2+(I2+J2+K2)/3+L2)/4</f>
        <v>0.76541666666666663</v>
      </c>
    </row>
    <row r="3" spans="1:17" ht="199.9" thickBot="1" x14ac:dyDescent="0.5">
      <c r="A3" s="13">
        <v>1</v>
      </c>
      <c r="B3" s="13" t="s">
        <v>170</v>
      </c>
      <c r="C3" s="13">
        <v>0.8</v>
      </c>
      <c r="D3" s="13">
        <v>0.9</v>
      </c>
      <c r="E3" s="13">
        <f t="shared" ref="E3:E5" si="1">(C3+D3)/2</f>
        <v>0.85000000000000009</v>
      </c>
      <c r="F3" s="14" t="s">
        <v>174</v>
      </c>
      <c r="G3" s="13">
        <v>0.8</v>
      </c>
      <c r="H3" s="14" t="s">
        <v>175</v>
      </c>
      <c r="I3" s="13">
        <v>0.85</v>
      </c>
      <c r="J3" s="13">
        <v>0.8</v>
      </c>
      <c r="K3" s="13">
        <v>0.7</v>
      </c>
      <c r="L3" s="13">
        <v>0.9</v>
      </c>
      <c r="M3" s="13">
        <v>0.6</v>
      </c>
      <c r="N3" s="13">
        <v>0.78</v>
      </c>
      <c r="O3" s="14" t="s">
        <v>176</v>
      </c>
      <c r="P3" s="13">
        <v>0.26500000000000001</v>
      </c>
      <c r="Q3" s="10">
        <f t="shared" ref="Q3:Q5" si="2">(E3+(G3+M3)/2+(I3+J3+K3)/3+L3)/4</f>
        <v>0.80833333333333324</v>
      </c>
    </row>
    <row r="4" spans="1:17" ht="128.65" thickBot="1" x14ac:dyDescent="0.5">
      <c r="A4" s="13">
        <v>2</v>
      </c>
      <c r="B4" s="13" t="s">
        <v>170</v>
      </c>
      <c r="C4" s="13">
        <v>0.8</v>
      </c>
      <c r="D4" s="13">
        <v>0.9</v>
      </c>
      <c r="E4" s="13">
        <f t="shared" si="1"/>
        <v>0.85000000000000009</v>
      </c>
      <c r="F4" s="14" t="s">
        <v>177</v>
      </c>
      <c r="G4" s="13">
        <v>0.7</v>
      </c>
      <c r="H4" s="14" t="s">
        <v>178</v>
      </c>
      <c r="I4" s="13">
        <v>0.75</v>
      </c>
      <c r="J4" s="13">
        <v>0.8</v>
      </c>
      <c r="K4" s="13">
        <v>0.7</v>
      </c>
      <c r="L4" s="13">
        <v>0.9</v>
      </c>
      <c r="M4" s="13">
        <v>0.6</v>
      </c>
      <c r="N4" s="13">
        <v>0.8</v>
      </c>
      <c r="O4" s="14" t="s">
        <v>186</v>
      </c>
      <c r="P4" s="13">
        <v>0.22600000000000001</v>
      </c>
      <c r="Q4" s="10">
        <f t="shared" si="2"/>
        <v>0.78749999999999998</v>
      </c>
    </row>
    <row r="5" spans="1:17" ht="171.4" thickBot="1" x14ac:dyDescent="0.5">
      <c r="A5" s="13">
        <v>3</v>
      </c>
      <c r="B5" s="13" t="s">
        <v>170</v>
      </c>
      <c r="C5" s="13">
        <v>0.8</v>
      </c>
      <c r="D5" s="13">
        <v>0.9</v>
      </c>
      <c r="E5" s="13">
        <f t="shared" si="1"/>
        <v>0.85000000000000009</v>
      </c>
      <c r="F5" s="14" t="s">
        <v>179</v>
      </c>
      <c r="G5" s="13">
        <v>0.6</v>
      </c>
      <c r="H5" s="14" t="s">
        <v>180</v>
      </c>
      <c r="I5" s="13">
        <v>0.75</v>
      </c>
      <c r="J5" s="13">
        <v>0.8</v>
      </c>
      <c r="K5" s="13">
        <v>0.9</v>
      </c>
      <c r="L5" s="13">
        <v>0.7</v>
      </c>
      <c r="M5" s="13">
        <v>0.6</v>
      </c>
      <c r="N5" s="13">
        <v>0.78</v>
      </c>
      <c r="O5" s="14" t="s">
        <v>184</v>
      </c>
      <c r="P5" s="13">
        <v>0.20100000000000001</v>
      </c>
      <c r="Q5" s="13">
        <f t="shared" si="2"/>
        <v>0.7416666666666667</v>
      </c>
    </row>
    <row r="6" spans="1:17" ht="214.15" thickBot="1" x14ac:dyDescent="0.5">
      <c r="A6" s="13">
        <v>4</v>
      </c>
      <c r="B6" s="13" t="s">
        <v>170</v>
      </c>
      <c r="C6" s="13">
        <v>0.8</v>
      </c>
      <c r="D6" s="13">
        <v>0.9</v>
      </c>
      <c r="E6" s="13">
        <f t="shared" ref="E6" si="3">(C6+D6)/2</f>
        <v>0.85000000000000009</v>
      </c>
      <c r="F6" s="14" t="s">
        <v>182</v>
      </c>
      <c r="G6" s="13">
        <v>0.7</v>
      </c>
      <c r="H6" s="14" t="s">
        <v>183</v>
      </c>
      <c r="I6" s="13">
        <v>0.75</v>
      </c>
      <c r="J6" s="13">
        <v>0.9</v>
      </c>
      <c r="K6" s="13">
        <v>0.8</v>
      </c>
      <c r="L6" s="13">
        <v>0.7</v>
      </c>
      <c r="M6" s="13">
        <v>0.6</v>
      </c>
      <c r="N6" s="13">
        <v>0.75</v>
      </c>
      <c r="O6" s="14" t="s">
        <v>185</v>
      </c>
      <c r="P6" s="13">
        <v>0.17499999999999999</v>
      </c>
      <c r="Q6" s="13">
        <f t="shared" ref="Q6" si="4">(E6+(G6+M6)/2+(I6+J6+K6)/3+L6)/4</f>
        <v>0.75416666666666665</v>
      </c>
    </row>
    <row r="7" spans="1:17" ht="409.6" thickBot="1" x14ac:dyDescent="0.5">
      <c r="A7" s="13" t="s">
        <v>181</v>
      </c>
      <c r="B7" s="13" t="s">
        <v>187</v>
      </c>
      <c r="C7" s="13">
        <v>0.8</v>
      </c>
      <c r="D7" s="13">
        <v>0.7</v>
      </c>
      <c r="E7" s="13">
        <f>(C7+D7)/2</f>
        <v>0.75</v>
      </c>
      <c r="F7" s="14" t="s">
        <v>197</v>
      </c>
      <c r="G7" s="13">
        <v>0.8</v>
      </c>
      <c r="H7" s="14" t="s">
        <v>198</v>
      </c>
      <c r="I7" s="13">
        <v>0.89</v>
      </c>
      <c r="J7" s="13">
        <v>0.8</v>
      </c>
      <c r="K7" s="13">
        <v>0.7</v>
      </c>
      <c r="L7" s="13">
        <v>0.9</v>
      </c>
      <c r="M7" s="13">
        <v>0.6</v>
      </c>
      <c r="N7" s="13">
        <v>0.77</v>
      </c>
      <c r="O7" s="14" t="s">
        <v>199</v>
      </c>
      <c r="P7" s="13">
        <v>0.251</v>
      </c>
      <c r="Q7" s="13">
        <f>(E7+(G7+M7)/2+(I7+J7+K7)/3+L7)/4</f>
        <v>0.78666666666666663</v>
      </c>
    </row>
    <row r="8" spans="1:17" ht="185.65" thickBot="1" x14ac:dyDescent="0.5">
      <c r="A8" s="13">
        <v>1</v>
      </c>
      <c r="B8" s="13" t="s">
        <v>187</v>
      </c>
      <c r="C8" s="13">
        <v>0.8</v>
      </c>
      <c r="D8" s="13">
        <v>0.9</v>
      </c>
      <c r="E8" s="13">
        <f t="shared" ref="E8" si="5">(C8+D8)/2</f>
        <v>0.85000000000000009</v>
      </c>
      <c r="F8" s="14" t="s">
        <v>200</v>
      </c>
      <c r="G8" s="13">
        <v>0.8</v>
      </c>
      <c r="H8" s="14" t="s">
        <v>201</v>
      </c>
      <c r="I8" s="13">
        <v>0.9</v>
      </c>
      <c r="J8" s="13">
        <v>0.8</v>
      </c>
      <c r="K8" s="13">
        <v>0.9</v>
      </c>
      <c r="L8" s="13">
        <v>0.7</v>
      </c>
      <c r="M8" s="13">
        <v>0.85</v>
      </c>
      <c r="N8" s="13">
        <f t="shared" ref="N8" si="6">(J8+K8+L8+M8)/4</f>
        <v>0.81250000000000011</v>
      </c>
      <c r="O8" s="14" t="s">
        <v>202</v>
      </c>
      <c r="P8" s="13">
        <v>0.31900000000000001</v>
      </c>
      <c r="Q8" s="10">
        <f t="shared" ref="Q8" si="7">(E8+(G8+M8)/2+(I8+J8+K8)/3+L8)/4</f>
        <v>0.81041666666666679</v>
      </c>
    </row>
    <row r="9" spans="1:17" ht="285.39999999999998" thickBot="1" x14ac:dyDescent="0.5">
      <c r="A9" s="13">
        <v>1</v>
      </c>
      <c r="B9" s="13" t="s">
        <v>188</v>
      </c>
      <c r="C9" s="13">
        <v>0.8</v>
      </c>
      <c r="D9" s="13">
        <v>0.9</v>
      </c>
      <c r="E9" s="13">
        <f>(C9+D9)/2</f>
        <v>0.85000000000000009</v>
      </c>
      <c r="F9" s="14" t="s">
        <v>190</v>
      </c>
      <c r="G9" s="13">
        <v>0.7</v>
      </c>
      <c r="H9" s="14" t="s">
        <v>191</v>
      </c>
      <c r="I9" s="13">
        <v>0.97</v>
      </c>
      <c r="J9" s="13">
        <v>0.85</v>
      </c>
      <c r="K9" s="13">
        <v>0.9</v>
      </c>
      <c r="L9" s="13">
        <v>0.8</v>
      </c>
      <c r="M9" s="13">
        <v>0.95</v>
      </c>
      <c r="N9" s="13">
        <f t="shared" ref="N9:N10" si="8">(J9+K9+L9+M9)/4</f>
        <v>0.875</v>
      </c>
      <c r="O9" s="14" t="s">
        <v>192</v>
      </c>
      <c r="P9" s="13">
        <v>0.27100000000000002</v>
      </c>
      <c r="Q9" s="13">
        <f>(E9+(G9+M9)/2+(I9+J9+K9)/3+L9)/4</f>
        <v>0.84541666666666671</v>
      </c>
    </row>
    <row r="10" spans="1:17" ht="185.65" thickBot="1" x14ac:dyDescent="0.5">
      <c r="A10" s="13" t="s">
        <v>181</v>
      </c>
      <c r="B10" s="13" t="s">
        <v>189</v>
      </c>
      <c r="C10" s="13">
        <v>0.9</v>
      </c>
      <c r="D10" s="13">
        <v>0.8</v>
      </c>
      <c r="E10" s="13">
        <f t="shared" ref="E10" si="9">(C10+D10)/2</f>
        <v>0.85000000000000009</v>
      </c>
      <c r="F10" s="14" t="s">
        <v>193</v>
      </c>
      <c r="G10" s="13">
        <v>0.6</v>
      </c>
      <c r="H10" s="14" t="s">
        <v>194</v>
      </c>
      <c r="I10" s="13">
        <v>0.97</v>
      </c>
      <c r="J10" s="13">
        <v>0.8</v>
      </c>
      <c r="K10" s="13">
        <v>0.7</v>
      </c>
      <c r="L10" s="13">
        <v>0.9</v>
      </c>
      <c r="M10" s="13">
        <v>0.6</v>
      </c>
      <c r="N10" s="13">
        <f t="shared" si="8"/>
        <v>0.75</v>
      </c>
      <c r="O10" s="14" t="s">
        <v>195</v>
      </c>
      <c r="P10" s="13" t="s">
        <v>196</v>
      </c>
      <c r="Q10" s="10">
        <f t="shared" ref="Q10" si="10">(E10+(G10+M10)/2+(I10+J10+K10)/3+L10)/4</f>
        <v>0.79333333333333333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E8E5-F864-4B20-BE84-4E558240963D}">
  <dimension ref="A1:R39"/>
  <sheetViews>
    <sheetView topLeftCell="A24" workbookViewId="0">
      <pane xSplit="1" topLeftCell="E1" activePane="topRight" state="frozen"/>
      <selection pane="topRight" sqref="A1:R39"/>
    </sheetView>
  </sheetViews>
  <sheetFormatPr defaultRowHeight="14.25" x14ac:dyDescent="0.45"/>
  <cols>
    <col min="1" max="1" width="17.46484375" bestFit="1" customWidth="1"/>
    <col min="2" max="2" width="11.53125" bestFit="1" customWidth="1"/>
    <col min="3" max="3" width="13.86328125" bestFit="1" customWidth="1"/>
    <col min="4" max="4" width="19.46484375" bestFit="1" customWidth="1"/>
    <col min="5" max="5" width="15.33203125" bestFit="1" customWidth="1"/>
    <col min="6" max="6" width="15.73046875" bestFit="1" customWidth="1"/>
    <col min="7" max="7" width="15.796875" bestFit="1" customWidth="1"/>
    <col min="8" max="8" width="18.9296875" bestFit="1" customWidth="1"/>
    <col min="9" max="9" width="15.19921875" bestFit="1" customWidth="1"/>
    <col min="10" max="10" width="24" bestFit="1" customWidth="1"/>
    <col min="11" max="11" width="16.796875" bestFit="1" customWidth="1"/>
    <col min="12" max="12" width="26.86328125" bestFit="1" customWidth="1"/>
    <col min="13" max="13" width="22.1328125" bestFit="1" customWidth="1"/>
    <col min="14" max="14" width="10.86328125" bestFit="1" customWidth="1"/>
    <col min="15" max="15" width="17.59765625" bestFit="1" customWidth="1"/>
    <col min="16" max="16" width="7.9296875" bestFit="1" customWidth="1"/>
    <col min="17" max="17" width="13.53125" customWidth="1"/>
  </cols>
  <sheetData>
    <row r="1" spans="1:18" x14ac:dyDescent="0.45">
      <c r="A1" t="s">
        <v>203</v>
      </c>
      <c r="B1" t="s">
        <v>204</v>
      </c>
      <c r="C1" t="s">
        <v>23</v>
      </c>
      <c r="D1" t="s">
        <v>24</v>
      </c>
      <c r="E1" t="s">
        <v>25</v>
      </c>
      <c r="F1" t="s">
        <v>63</v>
      </c>
      <c r="G1" t="s">
        <v>26</v>
      </c>
      <c r="H1" t="s">
        <v>64</v>
      </c>
      <c r="I1" t="s">
        <v>43</v>
      </c>
      <c r="J1" t="s">
        <v>28</v>
      </c>
      <c r="K1" t="s">
        <v>27</v>
      </c>
      <c r="L1" t="s">
        <v>29</v>
      </c>
      <c r="M1" t="s">
        <v>30</v>
      </c>
      <c r="N1" t="s">
        <v>31</v>
      </c>
      <c r="O1" t="s">
        <v>65</v>
      </c>
      <c r="P1" t="s">
        <v>66</v>
      </c>
      <c r="Q1" t="s">
        <v>167</v>
      </c>
      <c r="R1" t="s">
        <v>247</v>
      </c>
    </row>
    <row r="2" spans="1:18" s="4" customFormat="1" x14ac:dyDescent="0.45">
      <c r="A2" s="4" t="s">
        <v>205</v>
      </c>
      <c r="B2" s="4" t="s">
        <v>206</v>
      </c>
      <c r="C2" s="4">
        <v>0.8</v>
      </c>
      <c r="D2" s="4">
        <v>0.9</v>
      </c>
      <c r="E2" s="4">
        <f>(G_eval_summary_with_comma_decimals[[#This Row],[Validity Score]]+G_eval_summary_with_comma_decimals[[#This Row],[Completeness score]])/2</f>
        <v>0.85000000000000009</v>
      </c>
      <c r="F2" s="4">
        <v>2</v>
      </c>
      <c r="G2" s="4">
        <v>0.6</v>
      </c>
      <c r="H2" s="15"/>
      <c r="I2" s="4">
        <v>0.93</v>
      </c>
      <c r="J2" s="4">
        <v>0.8</v>
      </c>
      <c r="K2" s="4">
        <v>0.9</v>
      </c>
      <c r="L2" s="4">
        <v>0.7</v>
      </c>
      <c r="M2" s="4">
        <v>0.85</v>
      </c>
      <c r="N2" s="4">
        <v>0.82499999999999996</v>
      </c>
      <c r="O2" s="15"/>
      <c r="P2" s="4">
        <v>0.504</v>
      </c>
      <c r="Q2" s="4">
        <f>(E2+(G2+M2)/2+(I2+J2+K2)/3+L2)/4</f>
        <v>0.7879166666666666</v>
      </c>
      <c r="R2" s="4">
        <v>2</v>
      </c>
    </row>
    <row r="3" spans="1:18" s="4" customFormat="1" x14ac:dyDescent="0.45">
      <c r="A3" s="4" t="s">
        <v>207</v>
      </c>
      <c r="B3" s="4" t="s">
        <v>208</v>
      </c>
      <c r="C3" s="4">
        <v>0.8</v>
      </c>
      <c r="D3" s="4">
        <v>0.7</v>
      </c>
      <c r="E3" s="4">
        <f>(G_eval_summary_with_comma_decimals[[#This Row],[Validity Score]]+G_eval_summary_with_comma_decimals[[#This Row],[Completeness score]])/2</f>
        <v>0.75</v>
      </c>
      <c r="F3" s="15"/>
      <c r="G3" s="4">
        <v>0.7</v>
      </c>
      <c r="H3" s="4">
        <v>4</v>
      </c>
      <c r="I3" s="4">
        <v>0.8</v>
      </c>
      <c r="J3" s="4">
        <v>0.8</v>
      </c>
      <c r="K3" s="4">
        <v>0.7</v>
      </c>
      <c r="L3" s="4">
        <v>0.9</v>
      </c>
      <c r="M3" s="4">
        <v>0.6</v>
      </c>
      <c r="N3" s="4">
        <v>0.77500000000000002</v>
      </c>
      <c r="O3" s="4">
        <v>3</v>
      </c>
      <c r="P3" s="4">
        <v>0.60299999999999998</v>
      </c>
      <c r="Q3" s="4">
        <f t="shared" ref="Q3:Q39" si="0">(E3+(G3+M3)/2+(I3+J3+K3)/3+L3)/4</f>
        <v>0.76666666666666661</v>
      </c>
      <c r="R3" s="4">
        <v>2</v>
      </c>
    </row>
    <row r="4" spans="1:18" x14ac:dyDescent="0.45">
      <c r="A4" t="s">
        <v>209</v>
      </c>
      <c r="B4" t="s">
        <v>206</v>
      </c>
      <c r="C4">
        <v>0.8</v>
      </c>
      <c r="D4">
        <v>0.7</v>
      </c>
      <c r="E4">
        <f>(G_eval_summary_with_comma_decimals[[#This Row],[Validity Score]]+G_eval_summary_with_comma_decimals[[#This Row],[Completeness score]])/2</f>
        <v>0.75</v>
      </c>
      <c r="F4">
        <v>4</v>
      </c>
      <c r="G4">
        <v>0.7</v>
      </c>
      <c r="H4">
        <v>5</v>
      </c>
      <c r="I4">
        <v>0.9</v>
      </c>
      <c r="J4">
        <v>0.8</v>
      </c>
      <c r="K4">
        <v>0.7</v>
      </c>
      <c r="L4">
        <v>0.9</v>
      </c>
      <c r="M4">
        <v>0.6</v>
      </c>
      <c r="N4">
        <v>0.77500000000000002</v>
      </c>
      <c r="O4">
        <v>3</v>
      </c>
      <c r="P4">
        <v>0.29599999999999999</v>
      </c>
      <c r="Q4">
        <f t="shared" si="0"/>
        <v>0.77500000000000002</v>
      </c>
      <c r="R4">
        <v>1</v>
      </c>
    </row>
    <row r="5" spans="1:18" x14ac:dyDescent="0.45">
      <c r="A5" t="s">
        <v>210</v>
      </c>
      <c r="B5" t="s">
        <v>208</v>
      </c>
      <c r="C5">
        <v>0.8</v>
      </c>
      <c r="D5">
        <v>0.7</v>
      </c>
      <c r="E5">
        <f>(G_eval_summary_with_comma_decimals[[#This Row],[Validity Score]]+G_eval_summary_with_comma_decimals[[#This Row],[Completeness score]])/2</f>
        <v>0.75</v>
      </c>
      <c r="F5">
        <v>4</v>
      </c>
      <c r="G5">
        <v>0.8</v>
      </c>
      <c r="H5">
        <v>3</v>
      </c>
      <c r="I5">
        <v>0.86</v>
      </c>
      <c r="J5">
        <v>0.8</v>
      </c>
      <c r="K5">
        <v>0.7</v>
      </c>
      <c r="L5">
        <v>0.6</v>
      </c>
      <c r="M5">
        <v>0.9</v>
      </c>
      <c r="N5">
        <v>0.75</v>
      </c>
      <c r="O5">
        <v>4</v>
      </c>
      <c r="P5">
        <v>0.8</v>
      </c>
      <c r="Q5">
        <f t="shared" si="0"/>
        <v>0.7466666666666667</v>
      </c>
      <c r="R5">
        <v>1</v>
      </c>
    </row>
    <row r="6" spans="1:18" x14ac:dyDescent="0.45">
      <c r="A6" t="s">
        <v>211</v>
      </c>
      <c r="B6" t="s">
        <v>206</v>
      </c>
      <c r="C6">
        <v>0.8</v>
      </c>
      <c r="D6">
        <v>0.9</v>
      </c>
      <c r="E6">
        <f>(G_eval_summary_with_comma_decimals[[#This Row],[Validity Score]]+G_eval_summary_with_comma_decimals[[#This Row],[Completeness score]])/2</f>
        <v>0.85000000000000009</v>
      </c>
      <c r="F6">
        <v>3</v>
      </c>
      <c r="G6">
        <v>0.6</v>
      </c>
      <c r="H6">
        <v>5</v>
      </c>
      <c r="I6">
        <v>0.8</v>
      </c>
      <c r="J6">
        <v>0.8</v>
      </c>
      <c r="K6">
        <v>0.7</v>
      </c>
      <c r="L6">
        <v>0.9</v>
      </c>
      <c r="M6">
        <v>0.6</v>
      </c>
      <c r="N6">
        <v>0.77</v>
      </c>
      <c r="O6">
        <v>3</v>
      </c>
      <c r="P6">
        <v>0.24199999999999999</v>
      </c>
      <c r="Q6">
        <f t="shared" si="0"/>
        <v>0.77916666666666667</v>
      </c>
      <c r="R6">
        <v>5</v>
      </c>
    </row>
    <row r="7" spans="1:18" x14ac:dyDescent="0.45">
      <c r="A7" t="s">
        <v>212</v>
      </c>
      <c r="B7" t="s">
        <v>208</v>
      </c>
      <c r="C7">
        <v>0.8</v>
      </c>
      <c r="D7">
        <v>0.9</v>
      </c>
      <c r="E7">
        <f>(G_eval_summary_with_comma_decimals[[#This Row],[Validity Score]]+G_eval_summary_with_comma_decimals[[#This Row],[Completeness score]])/2</f>
        <v>0.85000000000000009</v>
      </c>
      <c r="F7">
        <v>3</v>
      </c>
      <c r="G7">
        <v>0.7</v>
      </c>
      <c r="H7">
        <v>5</v>
      </c>
      <c r="I7">
        <v>1</v>
      </c>
      <c r="J7">
        <v>0.7</v>
      </c>
      <c r="K7">
        <v>0.6</v>
      </c>
      <c r="L7">
        <v>0.5</v>
      </c>
      <c r="M7">
        <v>0.8</v>
      </c>
      <c r="N7">
        <v>0.65</v>
      </c>
      <c r="O7">
        <v>3</v>
      </c>
      <c r="P7">
        <v>0.56000000000000005</v>
      </c>
      <c r="Q7">
        <f t="shared" si="0"/>
        <v>0.71666666666666667</v>
      </c>
      <c r="R7">
        <v>5</v>
      </c>
    </row>
    <row r="8" spans="1:18" x14ac:dyDescent="0.45">
      <c r="A8" t="s">
        <v>213</v>
      </c>
      <c r="B8" t="s">
        <v>206</v>
      </c>
      <c r="C8">
        <v>0.8</v>
      </c>
      <c r="D8">
        <v>0.7</v>
      </c>
      <c r="E8">
        <f>(G_eval_summary_with_comma_decimals[[#This Row],[Validity Score]]+G_eval_summary_with_comma_decimals[[#This Row],[Completeness score]])/2</f>
        <v>0.75</v>
      </c>
      <c r="F8">
        <v>3</v>
      </c>
      <c r="G8">
        <v>0.8</v>
      </c>
      <c r="H8">
        <v>2</v>
      </c>
      <c r="I8">
        <v>1</v>
      </c>
      <c r="J8">
        <v>0.8</v>
      </c>
      <c r="K8">
        <v>0.9</v>
      </c>
      <c r="L8">
        <v>0.7</v>
      </c>
      <c r="M8">
        <v>0.6</v>
      </c>
      <c r="N8">
        <v>0.8</v>
      </c>
      <c r="O8">
        <v>3</v>
      </c>
      <c r="P8">
        <v>0.19</v>
      </c>
      <c r="Q8">
        <f t="shared" si="0"/>
        <v>0.76249999999999996</v>
      </c>
      <c r="R8">
        <v>3</v>
      </c>
    </row>
    <row r="9" spans="1:18" x14ac:dyDescent="0.45">
      <c r="A9" t="s">
        <v>214</v>
      </c>
      <c r="B9" t="s">
        <v>208</v>
      </c>
      <c r="C9">
        <v>0.5</v>
      </c>
      <c r="D9">
        <v>0.2</v>
      </c>
      <c r="E9">
        <f>(G_eval_summary_with_comma_decimals[[#This Row],[Validity Score]]+G_eval_summary_with_comma_decimals[[#This Row],[Completeness score]])/2</f>
        <v>0.35</v>
      </c>
      <c r="F9">
        <v>5</v>
      </c>
      <c r="G9">
        <v>0.6</v>
      </c>
      <c r="H9">
        <v>2</v>
      </c>
      <c r="I9">
        <v>1</v>
      </c>
      <c r="J9">
        <v>0.5</v>
      </c>
      <c r="K9">
        <v>0.6</v>
      </c>
      <c r="L9">
        <v>0.4</v>
      </c>
      <c r="M9">
        <v>0.3</v>
      </c>
      <c r="N9">
        <v>0.46</v>
      </c>
      <c r="O9">
        <v>5</v>
      </c>
      <c r="P9">
        <v>0.316</v>
      </c>
      <c r="Q9">
        <f t="shared" si="0"/>
        <v>0.47499999999999998</v>
      </c>
      <c r="R9">
        <v>3</v>
      </c>
    </row>
    <row r="10" spans="1:18" x14ac:dyDescent="0.45">
      <c r="A10" t="s">
        <v>215</v>
      </c>
      <c r="B10" t="s">
        <v>206</v>
      </c>
      <c r="C10">
        <v>0.6</v>
      </c>
      <c r="D10">
        <v>0.8</v>
      </c>
      <c r="E10">
        <f>(G_eval_summary_with_comma_decimals[[#This Row],[Validity Score]]+G_eval_summary_with_comma_decimals[[#This Row],[Completeness score]])/2</f>
        <v>0.7</v>
      </c>
      <c r="F10">
        <v>2</v>
      </c>
      <c r="G10">
        <v>0.7</v>
      </c>
      <c r="H10">
        <v>3</v>
      </c>
      <c r="I10">
        <v>1</v>
      </c>
      <c r="J10">
        <v>0.8</v>
      </c>
      <c r="K10">
        <v>0.7</v>
      </c>
      <c r="L10">
        <v>0.9</v>
      </c>
      <c r="M10">
        <v>0.6</v>
      </c>
      <c r="N10">
        <v>0.76</v>
      </c>
      <c r="O10">
        <v>3</v>
      </c>
      <c r="P10">
        <v>0.36399999999999999</v>
      </c>
      <c r="Q10">
        <f t="shared" si="0"/>
        <v>0.77083333333333326</v>
      </c>
      <c r="R10">
        <v>2</v>
      </c>
    </row>
    <row r="11" spans="1:18" x14ac:dyDescent="0.45">
      <c r="A11" t="s">
        <v>216</v>
      </c>
      <c r="B11" t="s">
        <v>208</v>
      </c>
      <c r="C11">
        <v>0.75</v>
      </c>
      <c r="D11">
        <v>0.5</v>
      </c>
      <c r="E11">
        <f>(G_eval_summary_with_comma_decimals[[#This Row],[Validity Score]]+G_eval_summary_with_comma_decimals[[#This Row],[Completeness score]])/2</f>
        <v>0.625</v>
      </c>
      <c r="F11">
        <v>3</v>
      </c>
      <c r="G11">
        <v>0.8</v>
      </c>
      <c r="H11">
        <v>3</v>
      </c>
      <c r="I11">
        <v>1</v>
      </c>
      <c r="J11">
        <v>0.8</v>
      </c>
      <c r="K11">
        <v>0.6</v>
      </c>
      <c r="L11">
        <v>0.7</v>
      </c>
      <c r="M11">
        <v>0.9</v>
      </c>
      <c r="N11">
        <v>0.75</v>
      </c>
      <c r="O11">
        <v>3</v>
      </c>
      <c r="P11">
        <v>0.57099999999999995</v>
      </c>
      <c r="Q11">
        <f t="shared" si="0"/>
        <v>0.74374999999999991</v>
      </c>
      <c r="R11">
        <v>2</v>
      </c>
    </row>
    <row r="12" spans="1:18" x14ac:dyDescent="0.45">
      <c r="A12" t="s">
        <v>217</v>
      </c>
      <c r="B12" t="s">
        <v>206</v>
      </c>
      <c r="C12">
        <v>0.8</v>
      </c>
      <c r="D12">
        <v>0.7</v>
      </c>
      <c r="E12">
        <f>(G_eval_summary_with_comma_decimals[[#This Row],[Validity Score]]+G_eval_summary_with_comma_decimals[[#This Row],[Completeness score]])/2</f>
        <v>0.75</v>
      </c>
      <c r="F12">
        <v>2</v>
      </c>
      <c r="G12">
        <v>0.6</v>
      </c>
      <c r="H12">
        <v>3</v>
      </c>
      <c r="I12">
        <v>1</v>
      </c>
      <c r="J12">
        <v>0.8</v>
      </c>
      <c r="K12">
        <v>0.7</v>
      </c>
      <c r="L12">
        <v>0.9</v>
      </c>
      <c r="M12">
        <v>0.6</v>
      </c>
      <c r="N12">
        <v>0.76</v>
      </c>
      <c r="O12">
        <v>4</v>
      </c>
      <c r="P12">
        <v>0.6</v>
      </c>
      <c r="Q12">
        <f t="shared" si="0"/>
        <v>0.77083333333333337</v>
      </c>
      <c r="R12">
        <v>4</v>
      </c>
    </row>
    <row r="13" spans="1:18" x14ac:dyDescent="0.45">
      <c r="A13" t="s">
        <v>218</v>
      </c>
      <c r="B13" t="s">
        <v>208</v>
      </c>
      <c r="C13">
        <v>0.5</v>
      </c>
      <c r="D13">
        <v>0.8</v>
      </c>
      <c r="E13">
        <f>(G_eval_summary_with_comma_decimals[[#This Row],[Validity Score]]+G_eval_summary_with_comma_decimals[[#This Row],[Completeness score]])/2</f>
        <v>0.65</v>
      </c>
      <c r="F13">
        <v>3</v>
      </c>
      <c r="G13">
        <v>0.5</v>
      </c>
      <c r="H13">
        <v>2</v>
      </c>
      <c r="I13">
        <v>1</v>
      </c>
      <c r="J13">
        <v>0.8</v>
      </c>
      <c r="K13">
        <v>0.9</v>
      </c>
      <c r="L13">
        <v>0.7</v>
      </c>
      <c r="M13">
        <v>0.85</v>
      </c>
      <c r="N13">
        <v>0.82</v>
      </c>
      <c r="O13">
        <v>3</v>
      </c>
      <c r="P13">
        <v>0.83299999999999996</v>
      </c>
      <c r="Q13">
        <f t="shared" si="0"/>
        <v>0.73124999999999996</v>
      </c>
      <c r="R13">
        <v>4</v>
      </c>
    </row>
    <row r="14" spans="1:18" x14ac:dyDescent="0.45">
      <c r="A14" t="s">
        <v>219</v>
      </c>
      <c r="B14" t="s">
        <v>206</v>
      </c>
      <c r="C14">
        <v>0.8</v>
      </c>
      <c r="D14">
        <v>0.9</v>
      </c>
      <c r="E14">
        <f>(G_eval_summary_with_comma_decimals[[#This Row],[Validity Score]]+G_eval_summary_with_comma_decimals[[#This Row],[Completeness score]])/2</f>
        <v>0.85000000000000009</v>
      </c>
      <c r="F14">
        <v>2</v>
      </c>
      <c r="G14">
        <v>0.8</v>
      </c>
      <c r="H14">
        <v>2</v>
      </c>
      <c r="I14">
        <v>1</v>
      </c>
      <c r="J14">
        <v>0.7</v>
      </c>
      <c r="K14">
        <v>0.8</v>
      </c>
      <c r="L14">
        <v>0.9</v>
      </c>
      <c r="M14">
        <v>0.5</v>
      </c>
      <c r="N14">
        <v>0.75</v>
      </c>
      <c r="O14">
        <v>4</v>
      </c>
      <c r="P14">
        <v>0.308</v>
      </c>
      <c r="Q14">
        <f t="shared" si="0"/>
        <v>0.80833333333333335</v>
      </c>
      <c r="R14">
        <v>1</v>
      </c>
    </row>
    <row r="15" spans="1:18" x14ac:dyDescent="0.45">
      <c r="A15" t="s">
        <v>220</v>
      </c>
      <c r="B15" t="s">
        <v>208</v>
      </c>
      <c r="C15">
        <v>1</v>
      </c>
      <c r="D15">
        <v>1</v>
      </c>
      <c r="E15">
        <f>(G_eval_summary_with_comma_decimals[[#This Row],[Validity Score]]+G_eval_summary_with_comma_decimals[[#This Row],[Completeness score]])/2</f>
        <v>1</v>
      </c>
      <c r="F15">
        <v>0</v>
      </c>
      <c r="G15">
        <v>0.7</v>
      </c>
      <c r="H15">
        <v>2</v>
      </c>
      <c r="I15">
        <v>1</v>
      </c>
      <c r="J15">
        <v>0.8</v>
      </c>
      <c r="K15">
        <v>0.7</v>
      </c>
      <c r="L15">
        <v>0.9</v>
      </c>
      <c r="M15">
        <v>0.6</v>
      </c>
      <c r="N15">
        <v>0.76</v>
      </c>
      <c r="O15">
        <v>3</v>
      </c>
      <c r="P15">
        <v>1</v>
      </c>
      <c r="Q15">
        <f t="shared" si="0"/>
        <v>0.84583333333333333</v>
      </c>
      <c r="R15">
        <v>1</v>
      </c>
    </row>
    <row r="16" spans="1:18" x14ac:dyDescent="0.45">
      <c r="A16" t="s">
        <v>221</v>
      </c>
      <c r="B16" t="s">
        <v>206</v>
      </c>
      <c r="C16">
        <v>0.8</v>
      </c>
      <c r="D16">
        <v>0.9</v>
      </c>
      <c r="E16">
        <f>(G_eval_summary_with_comma_decimals[[#This Row],[Validity Score]]+G_eval_summary_with_comma_decimals[[#This Row],[Completeness score]])/2</f>
        <v>0.85000000000000009</v>
      </c>
      <c r="F16">
        <v>3</v>
      </c>
      <c r="G16">
        <v>0.6</v>
      </c>
      <c r="H16">
        <v>3</v>
      </c>
      <c r="I16">
        <v>1</v>
      </c>
      <c r="J16">
        <v>0.8</v>
      </c>
      <c r="K16">
        <v>0.7</v>
      </c>
      <c r="L16">
        <v>0.9</v>
      </c>
      <c r="M16">
        <v>0.6</v>
      </c>
      <c r="N16">
        <v>0.79</v>
      </c>
      <c r="O16">
        <v>3</v>
      </c>
      <c r="P16">
        <v>0.36399999999999999</v>
      </c>
      <c r="Q16">
        <f t="shared" si="0"/>
        <v>0.79583333333333339</v>
      </c>
      <c r="R16">
        <v>2</v>
      </c>
    </row>
    <row r="17" spans="1:18" x14ac:dyDescent="0.45">
      <c r="A17" t="s">
        <v>222</v>
      </c>
      <c r="B17" t="s">
        <v>208</v>
      </c>
      <c r="C17">
        <v>0.8</v>
      </c>
      <c r="D17">
        <v>0.9</v>
      </c>
      <c r="E17">
        <f>(G_eval_summary_with_comma_decimals[[#This Row],[Validity Score]]+G_eval_summary_with_comma_decimals[[#This Row],[Completeness score]])/2</f>
        <v>0.85000000000000009</v>
      </c>
      <c r="F17">
        <v>3</v>
      </c>
      <c r="G17">
        <v>0.6</v>
      </c>
      <c r="H17">
        <v>2</v>
      </c>
      <c r="I17">
        <v>1</v>
      </c>
      <c r="J17">
        <v>0.8</v>
      </c>
      <c r="K17">
        <v>0.7</v>
      </c>
      <c r="L17">
        <v>0.9</v>
      </c>
      <c r="M17">
        <v>0.6</v>
      </c>
      <c r="N17">
        <v>0.8</v>
      </c>
      <c r="O17">
        <v>3</v>
      </c>
      <c r="P17">
        <v>0.85699999999999998</v>
      </c>
      <c r="Q17">
        <f t="shared" si="0"/>
        <v>0.79583333333333339</v>
      </c>
      <c r="R17">
        <v>2</v>
      </c>
    </row>
    <row r="18" spans="1:18" x14ac:dyDescent="0.45">
      <c r="A18" t="s">
        <v>223</v>
      </c>
      <c r="B18" t="s">
        <v>206</v>
      </c>
      <c r="C18">
        <v>0.8</v>
      </c>
      <c r="D18">
        <v>0.7</v>
      </c>
      <c r="E18">
        <f>(G_eval_summary_with_comma_decimals[[#This Row],[Validity Score]]+G_eval_summary_with_comma_decimals[[#This Row],[Completeness score]])/2</f>
        <v>0.75</v>
      </c>
      <c r="F18">
        <v>2</v>
      </c>
      <c r="G18">
        <v>0.8</v>
      </c>
      <c r="H18">
        <v>3</v>
      </c>
      <c r="I18">
        <v>1</v>
      </c>
      <c r="J18">
        <v>0.8</v>
      </c>
      <c r="K18">
        <v>0.7</v>
      </c>
      <c r="L18">
        <v>0.9</v>
      </c>
      <c r="M18">
        <v>0.6</v>
      </c>
      <c r="N18">
        <v>0.78</v>
      </c>
      <c r="O18">
        <v>3</v>
      </c>
      <c r="P18">
        <v>0.308</v>
      </c>
      <c r="Q18">
        <f t="shared" si="0"/>
        <v>0.79583333333333328</v>
      </c>
      <c r="R18">
        <v>3</v>
      </c>
    </row>
    <row r="19" spans="1:18" x14ac:dyDescent="0.45">
      <c r="A19" t="s">
        <v>224</v>
      </c>
      <c r="B19" t="s">
        <v>208</v>
      </c>
      <c r="C19">
        <v>0.8</v>
      </c>
      <c r="D19">
        <v>0.9</v>
      </c>
      <c r="E19">
        <f>(G_eval_summary_with_comma_decimals[[#This Row],[Validity Score]]+G_eval_summary_with_comma_decimals[[#This Row],[Completeness score]])/2</f>
        <v>0.85000000000000009</v>
      </c>
      <c r="F19">
        <v>2</v>
      </c>
      <c r="G19">
        <v>0.8</v>
      </c>
      <c r="H19">
        <v>2</v>
      </c>
      <c r="I19">
        <v>1</v>
      </c>
      <c r="J19">
        <v>0.8</v>
      </c>
      <c r="K19">
        <v>0.7</v>
      </c>
      <c r="L19">
        <v>0.6</v>
      </c>
      <c r="M19">
        <v>0.9</v>
      </c>
      <c r="N19">
        <v>0.76</v>
      </c>
      <c r="O19">
        <v>3</v>
      </c>
      <c r="P19">
        <v>0.70599999999999996</v>
      </c>
      <c r="Q19">
        <f t="shared" si="0"/>
        <v>0.78333333333333344</v>
      </c>
      <c r="R19">
        <v>3</v>
      </c>
    </row>
    <row r="20" spans="1:18" x14ac:dyDescent="0.45">
      <c r="A20" t="s">
        <v>225</v>
      </c>
      <c r="B20" t="s">
        <v>206</v>
      </c>
      <c r="C20">
        <v>0.9</v>
      </c>
      <c r="D20">
        <v>0.8</v>
      </c>
      <c r="E20">
        <f>(G_eval_summary_with_comma_decimals[[#This Row],[Validity Score]]+G_eval_summary_with_comma_decimals[[#This Row],[Completeness score]])/2</f>
        <v>0.85000000000000009</v>
      </c>
      <c r="F20">
        <v>2</v>
      </c>
      <c r="G20">
        <v>0.8</v>
      </c>
      <c r="H20">
        <v>3</v>
      </c>
      <c r="I20">
        <v>1</v>
      </c>
      <c r="J20">
        <v>0.8</v>
      </c>
      <c r="K20">
        <v>0.7</v>
      </c>
      <c r="L20">
        <v>0.9</v>
      </c>
      <c r="M20">
        <v>0.6</v>
      </c>
      <c r="N20">
        <v>0.8</v>
      </c>
      <c r="O20">
        <v>3</v>
      </c>
      <c r="P20">
        <v>0.308</v>
      </c>
      <c r="Q20">
        <f t="shared" si="0"/>
        <v>0.8208333333333333</v>
      </c>
      <c r="R20">
        <v>3</v>
      </c>
    </row>
    <row r="21" spans="1:18" x14ac:dyDescent="0.45">
      <c r="A21" t="s">
        <v>226</v>
      </c>
      <c r="B21" t="s">
        <v>208</v>
      </c>
      <c r="C21">
        <v>0.75</v>
      </c>
      <c r="D21">
        <v>0.5</v>
      </c>
      <c r="E21">
        <f>(G_eval_summary_with_comma_decimals[[#This Row],[Validity Score]]+G_eval_summary_with_comma_decimals[[#This Row],[Completeness score]])/2</f>
        <v>0.625</v>
      </c>
      <c r="F21">
        <v>3</v>
      </c>
      <c r="G21">
        <v>0.6</v>
      </c>
      <c r="H21">
        <v>3</v>
      </c>
      <c r="I21">
        <v>1</v>
      </c>
      <c r="J21">
        <v>0.8</v>
      </c>
      <c r="K21">
        <v>0.7</v>
      </c>
      <c r="L21">
        <v>0.9</v>
      </c>
      <c r="M21">
        <v>0.6</v>
      </c>
      <c r="N21">
        <v>0.78</v>
      </c>
      <c r="O21">
        <v>4</v>
      </c>
      <c r="P21">
        <v>0.58799999999999997</v>
      </c>
      <c r="Q21">
        <f t="shared" si="0"/>
        <v>0.73958333333333337</v>
      </c>
      <c r="R21">
        <v>3</v>
      </c>
    </row>
    <row r="22" spans="1:18" x14ac:dyDescent="0.45">
      <c r="A22" t="s">
        <v>227</v>
      </c>
      <c r="B22" t="s">
        <v>206</v>
      </c>
      <c r="C22">
        <v>0.8</v>
      </c>
      <c r="D22">
        <v>0.7</v>
      </c>
      <c r="E22">
        <v>0.75</v>
      </c>
      <c r="F22">
        <v>4</v>
      </c>
      <c r="G22">
        <v>0.7</v>
      </c>
      <c r="H22">
        <v>4</v>
      </c>
      <c r="I22">
        <v>1</v>
      </c>
      <c r="J22">
        <v>0.8</v>
      </c>
      <c r="K22">
        <v>0.9</v>
      </c>
      <c r="L22">
        <v>0.7</v>
      </c>
      <c r="M22">
        <v>0.6</v>
      </c>
      <c r="N22">
        <v>0.748</v>
      </c>
      <c r="O22">
        <v>4</v>
      </c>
      <c r="P22">
        <v>0.31</v>
      </c>
      <c r="Q22">
        <f t="shared" si="0"/>
        <v>0.75</v>
      </c>
      <c r="R22">
        <v>3</v>
      </c>
    </row>
    <row r="23" spans="1:18" x14ac:dyDescent="0.45">
      <c r="A23" t="s">
        <v>228</v>
      </c>
      <c r="B23" t="s">
        <v>208</v>
      </c>
      <c r="C23">
        <v>0.8</v>
      </c>
      <c r="D23">
        <v>0.6</v>
      </c>
      <c r="E23">
        <v>0.7</v>
      </c>
      <c r="F23">
        <v>3</v>
      </c>
      <c r="G23">
        <v>0.7</v>
      </c>
      <c r="H23">
        <v>4</v>
      </c>
      <c r="I23">
        <v>1</v>
      </c>
      <c r="J23">
        <v>0.75</v>
      </c>
      <c r="K23">
        <v>0.8</v>
      </c>
      <c r="L23">
        <v>0.9</v>
      </c>
      <c r="M23">
        <v>0.6</v>
      </c>
      <c r="N23">
        <v>0.82599999999999996</v>
      </c>
      <c r="O23">
        <v>3</v>
      </c>
      <c r="P23">
        <v>0.56200000000000006</v>
      </c>
      <c r="Q23">
        <f t="shared" si="0"/>
        <v>0.77499999999999991</v>
      </c>
      <c r="R23">
        <v>3</v>
      </c>
    </row>
    <row r="24" spans="1:18" x14ac:dyDescent="0.45">
      <c r="A24" t="s">
        <v>229</v>
      </c>
      <c r="B24" t="s">
        <v>206</v>
      </c>
      <c r="C24">
        <v>0.8</v>
      </c>
      <c r="D24">
        <v>0.9</v>
      </c>
      <c r="E24">
        <v>0.85</v>
      </c>
      <c r="F24">
        <v>2</v>
      </c>
      <c r="G24">
        <v>0.8</v>
      </c>
      <c r="H24">
        <v>3</v>
      </c>
      <c r="I24">
        <v>1</v>
      </c>
      <c r="J24">
        <v>0.9</v>
      </c>
      <c r="K24">
        <v>0.8</v>
      </c>
      <c r="L24">
        <v>0.7</v>
      </c>
      <c r="M24">
        <v>0.6</v>
      </c>
      <c r="N24">
        <v>0.88800000000000001</v>
      </c>
      <c r="O24">
        <v>3</v>
      </c>
      <c r="P24">
        <v>0.25700000000000001</v>
      </c>
      <c r="Q24">
        <f t="shared" si="0"/>
        <v>0.78749999999999987</v>
      </c>
      <c r="R24">
        <v>2</v>
      </c>
    </row>
    <row r="25" spans="1:18" x14ac:dyDescent="0.45">
      <c r="A25" t="s">
        <v>230</v>
      </c>
      <c r="B25" t="s">
        <v>208</v>
      </c>
      <c r="C25">
        <v>0.8</v>
      </c>
      <c r="D25">
        <v>0.7</v>
      </c>
      <c r="E25">
        <v>0.75</v>
      </c>
      <c r="F25">
        <v>3</v>
      </c>
      <c r="G25">
        <v>0.75</v>
      </c>
      <c r="H25">
        <v>3</v>
      </c>
      <c r="I25">
        <v>1</v>
      </c>
      <c r="J25">
        <v>0.8</v>
      </c>
      <c r="K25">
        <v>0.9</v>
      </c>
      <c r="L25">
        <v>0.7</v>
      </c>
      <c r="M25">
        <v>0.6</v>
      </c>
      <c r="N25">
        <v>0.85199999999999998</v>
      </c>
      <c r="O25">
        <v>3</v>
      </c>
      <c r="P25">
        <v>0.56599999999999995</v>
      </c>
      <c r="Q25">
        <f t="shared" si="0"/>
        <v>0.75625000000000009</v>
      </c>
      <c r="R25">
        <v>2</v>
      </c>
    </row>
    <row r="26" spans="1:18" x14ac:dyDescent="0.45">
      <c r="A26" t="s">
        <v>231</v>
      </c>
      <c r="B26" t="s">
        <v>206</v>
      </c>
      <c r="C26">
        <v>0.9</v>
      </c>
      <c r="D26">
        <v>0.8</v>
      </c>
      <c r="E26">
        <v>0.85</v>
      </c>
      <c r="F26">
        <v>3</v>
      </c>
      <c r="G26">
        <v>0.85</v>
      </c>
      <c r="H26">
        <v>3</v>
      </c>
      <c r="I26">
        <v>1</v>
      </c>
      <c r="J26">
        <v>0.9</v>
      </c>
      <c r="K26">
        <v>0.8</v>
      </c>
      <c r="L26">
        <v>0.7</v>
      </c>
      <c r="M26">
        <v>0.85</v>
      </c>
      <c r="N26">
        <v>0.90200000000000002</v>
      </c>
      <c r="O26">
        <v>4</v>
      </c>
      <c r="P26">
        <v>0.35799999999999998</v>
      </c>
      <c r="Q26">
        <f t="shared" si="0"/>
        <v>0.82499999999999996</v>
      </c>
      <c r="R26">
        <v>2</v>
      </c>
    </row>
    <row r="27" spans="1:18" x14ac:dyDescent="0.45">
      <c r="A27" t="s">
        <v>232</v>
      </c>
      <c r="B27" t="s">
        <v>208</v>
      </c>
      <c r="C27">
        <v>0.9</v>
      </c>
      <c r="D27">
        <v>0.8</v>
      </c>
      <c r="E27">
        <v>0.85</v>
      </c>
      <c r="F27">
        <v>2</v>
      </c>
      <c r="G27">
        <v>0.7</v>
      </c>
      <c r="H27">
        <v>4</v>
      </c>
      <c r="I27">
        <v>1</v>
      </c>
      <c r="J27">
        <v>0.8</v>
      </c>
      <c r="K27">
        <v>0.6</v>
      </c>
      <c r="L27">
        <v>0.7</v>
      </c>
      <c r="M27">
        <v>0.9</v>
      </c>
      <c r="N27">
        <v>0.88800000000000001</v>
      </c>
      <c r="O27">
        <v>3</v>
      </c>
      <c r="P27">
        <v>0.54300000000000004</v>
      </c>
      <c r="Q27">
        <f t="shared" si="0"/>
        <v>0.78749999999999987</v>
      </c>
      <c r="R27">
        <v>2</v>
      </c>
    </row>
    <row r="28" spans="1:18" x14ac:dyDescent="0.45">
      <c r="A28" t="s">
        <v>233</v>
      </c>
      <c r="B28" t="s">
        <v>206</v>
      </c>
      <c r="C28">
        <v>0.8</v>
      </c>
      <c r="D28">
        <v>0.7</v>
      </c>
      <c r="E28">
        <v>0.75</v>
      </c>
      <c r="F28">
        <v>4</v>
      </c>
      <c r="G28">
        <v>0.8</v>
      </c>
      <c r="H28">
        <v>4</v>
      </c>
      <c r="I28">
        <v>1</v>
      </c>
      <c r="J28">
        <v>0.9</v>
      </c>
      <c r="K28">
        <v>0.8</v>
      </c>
      <c r="L28">
        <v>0.7</v>
      </c>
      <c r="M28">
        <v>0.85</v>
      </c>
      <c r="N28">
        <v>0.84799999999999998</v>
      </c>
      <c r="O28">
        <v>4</v>
      </c>
      <c r="P28">
        <v>0.30099999999999999</v>
      </c>
      <c r="Q28">
        <f t="shared" si="0"/>
        <v>0.79374999999999996</v>
      </c>
      <c r="R28">
        <v>3</v>
      </c>
    </row>
    <row r="29" spans="1:18" x14ac:dyDescent="0.45">
      <c r="A29" t="s">
        <v>234</v>
      </c>
      <c r="B29" t="s">
        <v>208</v>
      </c>
      <c r="C29">
        <v>0.8</v>
      </c>
      <c r="D29">
        <v>0.7</v>
      </c>
      <c r="E29">
        <v>0.75</v>
      </c>
      <c r="F29">
        <v>4</v>
      </c>
      <c r="G29">
        <v>0.6</v>
      </c>
      <c r="H29">
        <v>4</v>
      </c>
      <c r="I29">
        <v>1</v>
      </c>
      <c r="J29">
        <v>0.9</v>
      </c>
      <c r="K29">
        <v>0.8</v>
      </c>
      <c r="L29">
        <v>0.7</v>
      </c>
      <c r="M29">
        <v>0.6</v>
      </c>
      <c r="N29">
        <v>0.77800000000000002</v>
      </c>
      <c r="O29">
        <v>4</v>
      </c>
      <c r="P29">
        <v>0.46600000000000003</v>
      </c>
      <c r="Q29">
        <f t="shared" si="0"/>
        <v>0.73750000000000004</v>
      </c>
      <c r="R29">
        <v>3</v>
      </c>
    </row>
    <row r="30" spans="1:18" x14ac:dyDescent="0.45">
      <c r="A30" t="s">
        <v>235</v>
      </c>
      <c r="B30" t="s">
        <v>206</v>
      </c>
      <c r="C30">
        <v>0.9</v>
      </c>
      <c r="D30">
        <v>0.8</v>
      </c>
      <c r="E30">
        <v>0.85</v>
      </c>
      <c r="F30">
        <v>3</v>
      </c>
      <c r="G30">
        <v>0.8</v>
      </c>
      <c r="H30">
        <v>3</v>
      </c>
      <c r="I30">
        <v>1</v>
      </c>
      <c r="J30">
        <v>0.8</v>
      </c>
      <c r="K30">
        <v>0.9</v>
      </c>
      <c r="L30">
        <v>0.7</v>
      </c>
      <c r="M30">
        <v>0.6</v>
      </c>
      <c r="N30">
        <v>0.86799999999999999</v>
      </c>
      <c r="O30">
        <v>3</v>
      </c>
      <c r="P30">
        <v>0.187</v>
      </c>
      <c r="Q30">
        <f t="shared" si="0"/>
        <v>0.78749999999999987</v>
      </c>
      <c r="R30">
        <v>4</v>
      </c>
    </row>
    <row r="31" spans="1:18" x14ac:dyDescent="0.45">
      <c r="A31" t="s">
        <v>236</v>
      </c>
      <c r="B31" t="s">
        <v>208</v>
      </c>
      <c r="C31">
        <v>0.8</v>
      </c>
      <c r="D31">
        <v>0.6</v>
      </c>
      <c r="E31">
        <v>0.7</v>
      </c>
      <c r="F31">
        <v>4</v>
      </c>
      <c r="G31">
        <v>0.7</v>
      </c>
      <c r="H31">
        <v>5</v>
      </c>
      <c r="I31">
        <v>1</v>
      </c>
      <c r="J31">
        <v>0.8</v>
      </c>
      <c r="K31">
        <v>0.7</v>
      </c>
      <c r="L31">
        <v>0.9</v>
      </c>
      <c r="M31">
        <v>0.6</v>
      </c>
      <c r="N31">
        <v>0.78900000000000003</v>
      </c>
      <c r="O31">
        <v>3</v>
      </c>
      <c r="P31">
        <v>0.55500000000000005</v>
      </c>
      <c r="Q31">
        <f t="shared" si="0"/>
        <v>0.77083333333333326</v>
      </c>
      <c r="R31">
        <v>4</v>
      </c>
    </row>
    <row r="32" spans="1:18" x14ac:dyDescent="0.45">
      <c r="A32" t="s">
        <v>237</v>
      </c>
      <c r="B32" t="s">
        <v>206</v>
      </c>
      <c r="C32">
        <v>0.8</v>
      </c>
      <c r="D32">
        <v>0.7</v>
      </c>
      <c r="E32">
        <v>0.75</v>
      </c>
      <c r="F32">
        <v>5</v>
      </c>
      <c r="H32">
        <v>0</v>
      </c>
      <c r="I32">
        <v>1</v>
      </c>
      <c r="J32">
        <v>0.9</v>
      </c>
      <c r="K32">
        <v>0.8</v>
      </c>
      <c r="L32">
        <v>0.7</v>
      </c>
      <c r="M32">
        <v>0.6</v>
      </c>
      <c r="N32">
        <v>0.79</v>
      </c>
      <c r="O32">
        <v>3</v>
      </c>
      <c r="P32">
        <v>0.23899999999999999</v>
      </c>
      <c r="Q32">
        <f t="shared" si="0"/>
        <v>0.66250000000000009</v>
      </c>
      <c r="R32">
        <v>3</v>
      </c>
    </row>
    <row r="33" spans="1:18" x14ac:dyDescent="0.45">
      <c r="A33" t="s">
        <v>238</v>
      </c>
      <c r="B33" t="s">
        <v>208</v>
      </c>
      <c r="C33">
        <v>0.8</v>
      </c>
      <c r="D33">
        <v>0.9</v>
      </c>
      <c r="E33">
        <v>0.85</v>
      </c>
      <c r="F33">
        <v>4</v>
      </c>
      <c r="G33">
        <v>0.7</v>
      </c>
      <c r="H33">
        <v>3</v>
      </c>
      <c r="I33">
        <v>1</v>
      </c>
      <c r="J33">
        <v>0.8</v>
      </c>
      <c r="K33">
        <v>0.7</v>
      </c>
      <c r="L33">
        <v>0.9</v>
      </c>
      <c r="M33">
        <v>0.6</v>
      </c>
      <c r="N33">
        <v>0.81100000000000005</v>
      </c>
      <c r="O33">
        <v>3</v>
      </c>
      <c r="P33">
        <v>0.628</v>
      </c>
      <c r="Q33">
        <f t="shared" si="0"/>
        <v>0.80833333333333335</v>
      </c>
      <c r="R33">
        <v>3</v>
      </c>
    </row>
    <row r="34" spans="1:18" x14ac:dyDescent="0.45">
      <c r="A34" t="s">
        <v>239</v>
      </c>
      <c r="B34" t="s">
        <v>206</v>
      </c>
      <c r="C34">
        <v>0.8</v>
      </c>
      <c r="D34">
        <v>0.7</v>
      </c>
      <c r="E34">
        <v>0.75</v>
      </c>
      <c r="F34">
        <v>5</v>
      </c>
      <c r="G34">
        <v>0.6</v>
      </c>
      <c r="H34">
        <v>5</v>
      </c>
      <c r="I34">
        <v>1</v>
      </c>
      <c r="J34">
        <v>0.9</v>
      </c>
      <c r="K34">
        <v>0.8</v>
      </c>
      <c r="L34">
        <v>0.7</v>
      </c>
      <c r="M34">
        <v>0.9</v>
      </c>
      <c r="N34">
        <v>0.84499999999999997</v>
      </c>
      <c r="O34">
        <v>3</v>
      </c>
      <c r="P34">
        <v>0.16</v>
      </c>
      <c r="Q34">
        <f t="shared" si="0"/>
        <v>0.77499999999999991</v>
      </c>
      <c r="R34">
        <v>2</v>
      </c>
    </row>
    <row r="35" spans="1:18" x14ac:dyDescent="0.45">
      <c r="A35" t="s">
        <v>240</v>
      </c>
      <c r="B35" t="s">
        <v>208</v>
      </c>
      <c r="C35">
        <v>0.8</v>
      </c>
      <c r="D35">
        <v>0.5</v>
      </c>
      <c r="E35">
        <v>0.65</v>
      </c>
      <c r="F35">
        <v>3</v>
      </c>
      <c r="G35">
        <v>0.7</v>
      </c>
      <c r="H35">
        <v>4</v>
      </c>
      <c r="I35">
        <v>1</v>
      </c>
      <c r="J35">
        <v>0.8</v>
      </c>
      <c r="K35">
        <v>0.7</v>
      </c>
      <c r="L35">
        <v>0.9</v>
      </c>
      <c r="M35">
        <v>0.6</v>
      </c>
      <c r="N35">
        <v>0.73</v>
      </c>
      <c r="O35">
        <v>3</v>
      </c>
      <c r="P35">
        <v>0.63700000000000001</v>
      </c>
      <c r="Q35">
        <f t="shared" si="0"/>
        <v>0.7583333333333333</v>
      </c>
      <c r="R35">
        <v>2</v>
      </c>
    </row>
    <row r="36" spans="1:18" x14ac:dyDescent="0.45">
      <c r="A36" t="s">
        <v>241</v>
      </c>
      <c r="B36" t="s">
        <v>206</v>
      </c>
      <c r="C36">
        <v>0.8</v>
      </c>
      <c r="D36">
        <v>0.7</v>
      </c>
      <c r="E36">
        <v>0.75</v>
      </c>
      <c r="F36">
        <v>4</v>
      </c>
      <c r="G36">
        <v>0.8</v>
      </c>
      <c r="H36">
        <v>4</v>
      </c>
      <c r="I36">
        <v>1</v>
      </c>
      <c r="J36">
        <v>0.8</v>
      </c>
      <c r="K36">
        <v>0.7</v>
      </c>
      <c r="L36">
        <v>0.9</v>
      </c>
      <c r="M36">
        <v>0.6</v>
      </c>
      <c r="N36">
        <v>0.85499999999999998</v>
      </c>
      <c r="O36">
        <v>4</v>
      </c>
      <c r="P36">
        <v>0.33400000000000002</v>
      </c>
      <c r="Q36">
        <f t="shared" si="0"/>
        <v>0.79583333333333328</v>
      </c>
      <c r="R36">
        <v>2</v>
      </c>
    </row>
    <row r="37" spans="1:18" x14ac:dyDescent="0.45">
      <c r="A37" t="s">
        <v>242</v>
      </c>
      <c r="B37" t="s">
        <v>208</v>
      </c>
      <c r="C37">
        <v>0.8</v>
      </c>
      <c r="D37">
        <v>0.9</v>
      </c>
      <c r="E37">
        <v>0.85</v>
      </c>
      <c r="F37">
        <v>2</v>
      </c>
      <c r="G37">
        <v>0.8</v>
      </c>
      <c r="H37">
        <v>3</v>
      </c>
      <c r="I37">
        <v>1</v>
      </c>
      <c r="J37">
        <v>0.8</v>
      </c>
      <c r="K37">
        <v>0.7</v>
      </c>
      <c r="L37">
        <v>0.9</v>
      </c>
      <c r="M37">
        <v>0.6</v>
      </c>
      <c r="N37">
        <v>0.877</v>
      </c>
      <c r="O37">
        <v>5</v>
      </c>
      <c r="P37">
        <v>0.73</v>
      </c>
      <c r="Q37">
        <f t="shared" si="0"/>
        <v>0.8208333333333333</v>
      </c>
      <c r="R37">
        <v>2</v>
      </c>
    </row>
    <row r="38" spans="1:18" x14ac:dyDescent="0.45">
      <c r="A38" t="s">
        <v>243</v>
      </c>
      <c r="B38" t="s">
        <v>206</v>
      </c>
      <c r="C38">
        <v>0.8</v>
      </c>
      <c r="D38">
        <v>0.7</v>
      </c>
      <c r="E38">
        <v>0.75</v>
      </c>
      <c r="F38">
        <v>4</v>
      </c>
      <c r="G38">
        <v>0.7</v>
      </c>
      <c r="H38">
        <v>4</v>
      </c>
      <c r="I38">
        <v>1</v>
      </c>
      <c r="J38">
        <v>0.9</v>
      </c>
      <c r="K38">
        <v>0.85</v>
      </c>
      <c r="L38">
        <v>0.95</v>
      </c>
      <c r="M38">
        <v>0.92</v>
      </c>
      <c r="N38">
        <v>0.875</v>
      </c>
      <c r="O38">
        <v>3</v>
      </c>
      <c r="P38">
        <v>0.44600000000000001</v>
      </c>
      <c r="Q38">
        <f t="shared" si="0"/>
        <v>0.85666666666666669</v>
      </c>
      <c r="R38">
        <v>4</v>
      </c>
    </row>
    <row r="39" spans="1:18" x14ac:dyDescent="0.45">
      <c r="A39" t="s">
        <v>244</v>
      </c>
      <c r="B39" t="s">
        <v>208</v>
      </c>
      <c r="C39">
        <v>0.8</v>
      </c>
      <c r="D39">
        <v>0.7</v>
      </c>
      <c r="E39">
        <v>0.75</v>
      </c>
      <c r="F39">
        <v>4</v>
      </c>
      <c r="G39">
        <v>0.7</v>
      </c>
      <c r="H39">
        <v>3</v>
      </c>
      <c r="I39">
        <v>1</v>
      </c>
      <c r="J39">
        <v>0.9</v>
      </c>
      <c r="K39">
        <v>0.8</v>
      </c>
      <c r="L39">
        <v>0.7</v>
      </c>
      <c r="M39">
        <v>0.6</v>
      </c>
      <c r="N39">
        <v>0.80700000000000005</v>
      </c>
      <c r="O39">
        <v>3</v>
      </c>
      <c r="P39">
        <v>0.64600000000000002</v>
      </c>
      <c r="Q39">
        <f t="shared" si="0"/>
        <v>0.75</v>
      </c>
      <c r="R39">
        <v>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8E2B-0C85-4EB1-8347-CFAD9A3A404D}">
  <dimension ref="A1:I81"/>
  <sheetViews>
    <sheetView topLeftCell="A40" workbookViewId="0">
      <selection activeCell="D40" sqref="D1:D1048576"/>
    </sheetView>
  </sheetViews>
  <sheetFormatPr defaultRowHeight="14.25" x14ac:dyDescent="0.45"/>
  <cols>
    <col min="3" max="3" width="11.3984375" bestFit="1" customWidth="1"/>
    <col min="7" max="7" width="8.53125" customWidth="1"/>
  </cols>
  <sheetData>
    <row r="1" spans="1:9" ht="14.65" thickBot="1" x14ac:dyDescent="0.5">
      <c r="A1" s="16" t="s">
        <v>203</v>
      </c>
      <c r="B1" s="17" t="s">
        <v>204</v>
      </c>
      <c r="C1" s="10" t="s">
        <v>35</v>
      </c>
      <c r="D1" s="10" t="s">
        <v>36</v>
      </c>
      <c r="E1" s="10" t="s">
        <v>37</v>
      </c>
      <c r="F1" s="10" t="s">
        <v>38</v>
      </c>
      <c r="G1" s="10" t="s">
        <v>19</v>
      </c>
      <c r="H1" s="10" t="s">
        <v>20</v>
      </c>
      <c r="I1" s="10" t="s">
        <v>21</v>
      </c>
    </row>
    <row r="2" spans="1:9" x14ac:dyDescent="0.45">
      <c r="A2" s="18" t="s">
        <v>205</v>
      </c>
      <c r="B2" s="19" t="s">
        <v>206</v>
      </c>
      <c r="C2" t="s">
        <v>7</v>
      </c>
      <c r="D2">
        <v>6</v>
      </c>
      <c r="E2">
        <v>3</v>
      </c>
      <c r="F2">
        <v>0</v>
      </c>
      <c r="G2">
        <f>D2/(D2+E2)</f>
        <v>0.66666666666666663</v>
      </c>
      <c r="H2">
        <f>D2/(D2+F2)</f>
        <v>1</v>
      </c>
      <c r="I2">
        <f>2*G2*H2/(G2+H2)</f>
        <v>0.8</v>
      </c>
    </row>
    <row r="3" spans="1:9" x14ac:dyDescent="0.45">
      <c r="A3" s="18" t="s">
        <v>205</v>
      </c>
      <c r="B3" s="19" t="s">
        <v>206</v>
      </c>
      <c r="C3" t="s">
        <v>8</v>
      </c>
      <c r="D3">
        <v>7</v>
      </c>
      <c r="E3">
        <v>2</v>
      </c>
      <c r="F3">
        <v>0</v>
      </c>
      <c r="G3">
        <f t="shared" ref="G3:G9" si="0">D3/(D3+E3)</f>
        <v>0.77777777777777779</v>
      </c>
      <c r="H3">
        <f t="shared" ref="H3:H9" si="1">D3/(D3+F3)</f>
        <v>1</v>
      </c>
      <c r="I3">
        <f t="shared" ref="I3:I9" si="2">2*G3*H3/(G3+H3)</f>
        <v>0.87500000000000011</v>
      </c>
    </row>
    <row r="4" spans="1:9" x14ac:dyDescent="0.45">
      <c r="A4" s="18" t="s">
        <v>205</v>
      </c>
      <c r="B4" s="19" t="s">
        <v>206</v>
      </c>
      <c r="C4" t="s">
        <v>9</v>
      </c>
      <c r="D4">
        <v>5</v>
      </c>
      <c r="E4">
        <v>7</v>
      </c>
      <c r="F4">
        <v>5</v>
      </c>
      <c r="G4">
        <f t="shared" si="0"/>
        <v>0.41666666666666669</v>
      </c>
      <c r="H4">
        <f t="shared" si="1"/>
        <v>0.5</v>
      </c>
      <c r="I4">
        <f t="shared" si="2"/>
        <v>0.45454545454545453</v>
      </c>
    </row>
    <row r="5" spans="1:9" ht="14.65" thickBot="1" x14ac:dyDescent="0.5">
      <c r="A5" s="20" t="s">
        <v>205</v>
      </c>
      <c r="B5" s="21" t="s">
        <v>206</v>
      </c>
      <c r="C5" s="10" t="s">
        <v>10</v>
      </c>
      <c r="D5" s="10">
        <v>7</v>
      </c>
      <c r="E5" s="10">
        <v>7</v>
      </c>
      <c r="F5" s="10">
        <v>0</v>
      </c>
      <c r="G5" s="10">
        <f t="shared" si="0"/>
        <v>0.5</v>
      </c>
      <c r="H5" s="10">
        <f t="shared" si="1"/>
        <v>1</v>
      </c>
      <c r="I5" s="10">
        <f t="shared" si="2"/>
        <v>0.66666666666666663</v>
      </c>
    </row>
    <row r="6" spans="1:9" x14ac:dyDescent="0.45">
      <c r="A6" s="18" t="s">
        <v>207</v>
      </c>
      <c r="B6" s="19" t="s">
        <v>208</v>
      </c>
      <c r="C6" t="s">
        <v>7</v>
      </c>
      <c r="D6">
        <v>6</v>
      </c>
      <c r="E6">
        <v>0</v>
      </c>
      <c r="F6">
        <v>0</v>
      </c>
      <c r="G6">
        <f t="shared" si="0"/>
        <v>1</v>
      </c>
      <c r="H6">
        <f t="shared" si="1"/>
        <v>1</v>
      </c>
      <c r="I6">
        <f t="shared" si="2"/>
        <v>1</v>
      </c>
    </row>
    <row r="7" spans="1:9" x14ac:dyDescent="0.45">
      <c r="A7" s="18" t="s">
        <v>207</v>
      </c>
      <c r="B7" s="19" t="s">
        <v>208</v>
      </c>
      <c r="C7" t="s">
        <v>8</v>
      </c>
      <c r="D7">
        <v>7</v>
      </c>
      <c r="E7">
        <v>0</v>
      </c>
      <c r="F7">
        <v>0</v>
      </c>
      <c r="G7">
        <f t="shared" si="0"/>
        <v>1</v>
      </c>
      <c r="H7">
        <f t="shared" si="1"/>
        <v>1</v>
      </c>
      <c r="I7">
        <f t="shared" si="2"/>
        <v>1</v>
      </c>
    </row>
    <row r="8" spans="1:9" x14ac:dyDescent="0.45">
      <c r="A8" s="18" t="s">
        <v>207</v>
      </c>
      <c r="B8" s="19" t="s">
        <v>208</v>
      </c>
      <c r="C8" t="s">
        <v>9</v>
      </c>
      <c r="D8">
        <v>7</v>
      </c>
      <c r="E8">
        <v>0</v>
      </c>
      <c r="F8">
        <v>3</v>
      </c>
      <c r="G8">
        <f t="shared" si="0"/>
        <v>1</v>
      </c>
      <c r="H8">
        <f t="shared" si="1"/>
        <v>0.7</v>
      </c>
      <c r="I8">
        <f t="shared" si="2"/>
        <v>0.82352941176470584</v>
      </c>
    </row>
    <row r="9" spans="1:9" ht="14.65" thickBot="1" x14ac:dyDescent="0.5">
      <c r="A9" s="20" t="s">
        <v>207</v>
      </c>
      <c r="B9" s="21" t="s">
        <v>208</v>
      </c>
      <c r="C9" s="10" t="s">
        <v>10</v>
      </c>
      <c r="D9" s="10">
        <v>5</v>
      </c>
      <c r="E9" s="10">
        <v>0</v>
      </c>
      <c r="F9" s="10">
        <v>2</v>
      </c>
      <c r="G9" s="10">
        <f t="shared" si="0"/>
        <v>1</v>
      </c>
      <c r="H9" s="10">
        <f t="shared" si="1"/>
        <v>0.7142857142857143</v>
      </c>
      <c r="I9" s="10">
        <f t="shared" si="2"/>
        <v>0.83333333333333326</v>
      </c>
    </row>
    <row r="10" spans="1:9" x14ac:dyDescent="0.45">
      <c r="A10" s="22" t="s">
        <v>209</v>
      </c>
      <c r="B10" s="19" t="s">
        <v>206</v>
      </c>
      <c r="C10" t="s">
        <v>7</v>
      </c>
      <c r="D10">
        <v>6</v>
      </c>
      <c r="E10">
        <v>0</v>
      </c>
      <c r="F10">
        <v>0</v>
      </c>
      <c r="G10">
        <f t="shared" ref="G10:G17" si="3">D10/(D10+E10)</f>
        <v>1</v>
      </c>
      <c r="H10">
        <f t="shared" ref="H10:H17" si="4">D10/(D10+F10)</f>
        <v>1</v>
      </c>
      <c r="I10">
        <f t="shared" ref="I10:I17" si="5">2*G10*H10/(G10+H10)</f>
        <v>1</v>
      </c>
    </row>
    <row r="11" spans="1:9" x14ac:dyDescent="0.45">
      <c r="A11" s="22" t="s">
        <v>209</v>
      </c>
      <c r="B11" s="19" t="s">
        <v>206</v>
      </c>
      <c r="C11" t="s">
        <v>8</v>
      </c>
      <c r="D11">
        <v>5</v>
      </c>
      <c r="E11">
        <v>0</v>
      </c>
      <c r="F11">
        <v>0</v>
      </c>
      <c r="G11">
        <f t="shared" si="3"/>
        <v>1</v>
      </c>
      <c r="H11">
        <f t="shared" si="4"/>
        <v>1</v>
      </c>
      <c r="I11">
        <f t="shared" si="5"/>
        <v>1</v>
      </c>
    </row>
    <row r="12" spans="1:9" x14ac:dyDescent="0.45">
      <c r="A12" s="22" t="s">
        <v>209</v>
      </c>
      <c r="B12" s="19" t="s">
        <v>206</v>
      </c>
      <c r="C12" t="s">
        <v>9</v>
      </c>
      <c r="D12">
        <v>8</v>
      </c>
      <c r="E12">
        <v>5</v>
      </c>
      <c r="F12">
        <v>4</v>
      </c>
      <c r="G12">
        <f t="shared" si="3"/>
        <v>0.61538461538461542</v>
      </c>
      <c r="H12">
        <f t="shared" si="4"/>
        <v>0.66666666666666663</v>
      </c>
      <c r="I12">
        <f t="shared" si="5"/>
        <v>0.64</v>
      </c>
    </row>
    <row r="13" spans="1:9" ht="14.65" thickBot="1" x14ac:dyDescent="0.5">
      <c r="A13" s="20" t="s">
        <v>209</v>
      </c>
      <c r="B13" s="21" t="s">
        <v>206</v>
      </c>
      <c r="C13" s="10" t="s">
        <v>10</v>
      </c>
      <c r="D13" s="10">
        <v>0</v>
      </c>
      <c r="E13" s="10">
        <v>30</v>
      </c>
      <c r="F13" s="10">
        <v>0</v>
      </c>
      <c r="G13" s="10">
        <f t="shared" si="3"/>
        <v>0</v>
      </c>
      <c r="H13" s="10" t="e">
        <f t="shared" si="4"/>
        <v>#DIV/0!</v>
      </c>
      <c r="I13" s="10" t="e">
        <f t="shared" si="5"/>
        <v>#DIV/0!</v>
      </c>
    </row>
    <row r="14" spans="1:9" x14ac:dyDescent="0.45">
      <c r="A14" s="22" t="s">
        <v>210</v>
      </c>
      <c r="B14" s="19" t="s">
        <v>208</v>
      </c>
      <c r="C14" t="s">
        <v>7</v>
      </c>
      <c r="D14">
        <v>6</v>
      </c>
      <c r="E14">
        <v>0</v>
      </c>
      <c r="F14">
        <v>0</v>
      </c>
      <c r="G14">
        <f t="shared" si="3"/>
        <v>1</v>
      </c>
      <c r="H14">
        <f t="shared" si="4"/>
        <v>1</v>
      </c>
      <c r="I14">
        <f t="shared" si="5"/>
        <v>1</v>
      </c>
    </row>
    <row r="15" spans="1:9" x14ac:dyDescent="0.45">
      <c r="A15" s="22" t="s">
        <v>210</v>
      </c>
      <c r="B15" s="19" t="s">
        <v>208</v>
      </c>
      <c r="C15" t="s">
        <v>8</v>
      </c>
      <c r="D15">
        <v>5</v>
      </c>
      <c r="E15">
        <v>0</v>
      </c>
      <c r="F15">
        <v>0</v>
      </c>
      <c r="G15">
        <f t="shared" si="3"/>
        <v>1</v>
      </c>
      <c r="H15">
        <f t="shared" si="4"/>
        <v>1</v>
      </c>
      <c r="I15">
        <f t="shared" si="5"/>
        <v>1</v>
      </c>
    </row>
    <row r="16" spans="1:9" x14ac:dyDescent="0.45">
      <c r="A16" s="22" t="s">
        <v>210</v>
      </c>
      <c r="B16" s="19" t="s">
        <v>208</v>
      </c>
      <c r="C16" t="s">
        <v>9</v>
      </c>
      <c r="D16">
        <v>12</v>
      </c>
      <c r="E16">
        <v>0</v>
      </c>
      <c r="F16">
        <v>0</v>
      </c>
      <c r="G16">
        <f t="shared" si="3"/>
        <v>1</v>
      </c>
      <c r="H16">
        <f t="shared" si="4"/>
        <v>1</v>
      </c>
      <c r="I16">
        <f t="shared" si="5"/>
        <v>1</v>
      </c>
    </row>
    <row r="17" spans="1:9" ht="14.65" thickBot="1" x14ac:dyDescent="0.5">
      <c r="A17" s="20" t="s">
        <v>210</v>
      </c>
      <c r="B17" s="21" t="s">
        <v>208</v>
      </c>
      <c r="C17" s="10" t="s">
        <v>10</v>
      </c>
      <c r="D17" s="10">
        <v>0</v>
      </c>
      <c r="E17" s="10">
        <v>0</v>
      </c>
      <c r="F17" s="10">
        <v>0</v>
      </c>
      <c r="G17" s="10" t="e">
        <f t="shared" si="3"/>
        <v>#DIV/0!</v>
      </c>
      <c r="H17" s="10" t="e">
        <f t="shared" si="4"/>
        <v>#DIV/0!</v>
      </c>
      <c r="I17" s="10" t="e">
        <f t="shared" si="5"/>
        <v>#DIV/0!</v>
      </c>
    </row>
    <row r="18" spans="1:9" x14ac:dyDescent="0.45">
      <c r="A18" s="22" t="s">
        <v>211</v>
      </c>
      <c r="B18" s="19" t="s">
        <v>206</v>
      </c>
      <c r="C18" t="s">
        <v>7</v>
      </c>
      <c r="D18">
        <v>6</v>
      </c>
      <c r="E18">
        <v>17</v>
      </c>
      <c r="F18">
        <v>1</v>
      </c>
      <c r="G18">
        <f t="shared" ref="G18:G25" si="6">D18/(D18+E18)</f>
        <v>0.2608695652173913</v>
      </c>
      <c r="H18">
        <f t="shared" ref="H18:H25" si="7">D18/(D18+F18)</f>
        <v>0.8571428571428571</v>
      </c>
      <c r="I18">
        <f t="shared" ref="I18:I25" si="8">2*G18*H18/(G18+H18)</f>
        <v>0.4</v>
      </c>
    </row>
    <row r="19" spans="1:9" x14ac:dyDescent="0.45">
      <c r="A19" s="22" t="s">
        <v>211</v>
      </c>
      <c r="B19" s="19" t="s">
        <v>206</v>
      </c>
      <c r="C19" t="s">
        <v>8</v>
      </c>
      <c r="D19">
        <v>2</v>
      </c>
      <c r="E19">
        <v>30</v>
      </c>
      <c r="F19">
        <v>6</v>
      </c>
      <c r="G19">
        <f t="shared" si="6"/>
        <v>6.25E-2</v>
      </c>
      <c r="H19">
        <f t="shared" si="7"/>
        <v>0.25</v>
      </c>
      <c r="I19">
        <f t="shared" si="8"/>
        <v>0.1</v>
      </c>
    </row>
    <row r="20" spans="1:9" x14ac:dyDescent="0.45">
      <c r="A20" s="22" t="s">
        <v>211</v>
      </c>
      <c r="B20" s="19" t="s">
        <v>206</v>
      </c>
      <c r="C20" t="s">
        <v>9</v>
      </c>
      <c r="D20">
        <v>1</v>
      </c>
      <c r="E20">
        <v>21</v>
      </c>
      <c r="F20">
        <v>11</v>
      </c>
      <c r="G20">
        <f t="shared" si="6"/>
        <v>4.5454545454545456E-2</v>
      </c>
      <c r="H20">
        <f t="shared" si="7"/>
        <v>8.3333333333333329E-2</v>
      </c>
      <c r="I20">
        <f t="shared" si="8"/>
        <v>5.8823529411764712E-2</v>
      </c>
    </row>
    <row r="21" spans="1:9" ht="14.65" thickBot="1" x14ac:dyDescent="0.5">
      <c r="A21" s="20" t="s">
        <v>211</v>
      </c>
      <c r="B21" s="21" t="s">
        <v>206</v>
      </c>
      <c r="C21" s="10" t="s">
        <v>10</v>
      </c>
      <c r="D21" s="10">
        <v>6</v>
      </c>
      <c r="E21" s="10">
        <v>38</v>
      </c>
      <c r="F21" s="10">
        <v>23</v>
      </c>
      <c r="G21" s="10">
        <f t="shared" si="6"/>
        <v>0.13636363636363635</v>
      </c>
      <c r="H21" s="10">
        <f t="shared" si="7"/>
        <v>0.20689655172413793</v>
      </c>
      <c r="I21" s="10">
        <f t="shared" si="8"/>
        <v>0.16438356164383564</v>
      </c>
    </row>
    <row r="22" spans="1:9" x14ac:dyDescent="0.45">
      <c r="A22" s="22" t="s">
        <v>212</v>
      </c>
      <c r="B22" s="19" t="s">
        <v>208</v>
      </c>
      <c r="C22" t="s">
        <v>7</v>
      </c>
      <c r="D22">
        <v>5</v>
      </c>
      <c r="E22">
        <v>7</v>
      </c>
      <c r="F22">
        <v>2</v>
      </c>
      <c r="G22">
        <f t="shared" si="6"/>
        <v>0.41666666666666669</v>
      </c>
      <c r="H22">
        <f t="shared" si="7"/>
        <v>0.7142857142857143</v>
      </c>
      <c r="I22">
        <f t="shared" si="8"/>
        <v>0.52631578947368418</v>
      </c>
    </row>
    <row r="23" spans="1:9" x14ac:dyDescent="0.45">
      <c r="A23" s="22" t="s">
        <v>212</v>
      </c>
      <c r="B23" s="19" t="s">
        <v>208</v>
      </c>
      <c r="C23" t="s">
        <v>8</v>
      </c>
      <c r="D23">
        <v>3</v>
      </c>
      <c r="E23">
        <v>9</v>
      </c>
      <c r="F23">
        <v>5</v>
      </c>
      <c r="G23">
        <f t="shared" si="6"/>
        <v>0.25</v>
      </c>
      <c r="H23">
        <f t="shared" si="7"/>
        <v>0.375</v>
      </c>
      <c r="I23">
        <f t="shared" si="8"/>
        <v>0.3</v>
      </c>
    </row>
    <row r="24" spans="1:9" x14ac:dyDescent="0.45">
      <c r="A24" s="22" t="s">
        <v>212</v>
      </c>
      <c r="B24" s="19" t="s">
        <v>208</v>
      </c>
      <c r="C24" t="s">
        <v>9</v>
      </c>
      <c r="D24">
        <v>4</v>
      </c>
      <c r="E24">
        <v>19</v>
      </c>
      <c r="F24">
        <v>8</v>
      </c>
      <c r="G24">
        <f t="shared" si="6"/>
        <v>0.17391304347826086</v>
      </c>
      <c r="H24">
        <f t="shared" si="7"/>
        <v>0.33333333333333331</v>
      </c>
      <c r="I24">
        <f t="shared" si="8"/>
        <v>0.22857142857142854</v>
      </c>
    </row>
    <row r="25" spans="1:9" ht="14.65" thickBot="1" x14ac:dyDescent="0.5">
      <c r="A25" s="20" t="s">
        <v>212</v>
      </c>
      <c r="B25" s="21" t="s">
        <v>208</v>
      </c>
      <c r="C25" s="10" t="s">
        <v>10</v>
      </c>
      <c r="D25" s="10">
        <v>0</v>
      </c>
      <c r="E25" s="10">
        <v>4</v>
      </c>
      <c r="F25" s="10">
        <v>29</v>
      </c>
      <c r="G25" s="10">
        <f t="shared" si="6"/>
        <v>0</v>
      </c>
      <c r="H25" s="10">
        <f t="shared" si="7"/>
        <v>0</v>
      </c>
      <c r="I25" s="10" t="e">
        <f t="shared" si="8"/>
        <v>#DIV/0!</v>
      </c>
    </row>
    <row r="26" spans="1:9" x14ac:dyDescent="0.45">
      <c r="A26" s="22" t="s">
        <v>213</v>
      </c>
      <c r="B26" s="19" t="s">
        <v>206</v>
      </c>
      <c r="C26" t="s">
        <v>7</v>
      </c>
      <c r="D26">
        <v>5</v>
      </c>
      <c r="E26">
        <v>4</v>
      </c>
      <c r="F26">
        <v>1</v>
      </c>
      <c r="G26">
        <f t="shared" ref="G26:G33" si="9">D26/(D26+E26)</f>
        <v>0.55555555555555558</v>
      </c>
      <c r="H26">
        <f t="shared" ref="H26:H33" si="10">D26/(D26+F26)</f>
        <v>0.83333333333333337</v>
      </c>
      <c r="I26">
        <f t="shared" ref="I26:I33" si="11">2*G26*H26/(G26+H26)</f>
        <v>0.66666666666666674</v>
      </c>
    </row>
    <row r="27" spans="1:9" x14ac:dyDescent="0.45">
      <c r="A27" s="22" t="s">
        <v>213</v>
      </c>
      <c r="B27" s="19" t="s">
        <v>206</v>
      </c>
      <c r="C27" t="s">
        <v>8</v>
      </c>
      <c r="D27">
        <v>6</v>
      </c>
      <c r="E27">
        <v>7</v>
      </c>
      <c r="F27">
        <v>1</v>
      </c>
      <c r="G27">
        <f>D27/(D27+E27)</f>
        <v>0.46153846153846156</v>
      </c>
      <c r="H27">
        <f t="shared" si="10"/>
        <v>0.8571428571428571</v>
      </c>
      <c r="I27">
        <f t="shared" si="11"/>
        <v>0.6</v>
      </c>
    </row>
    <row r="28" spans="1:9" x14ac:dyDescent="0.45">
      <c r="A28" s="22" t="s">
        <v>213</v>
      </c>
      <c r="B28" s="19" t="s">
        <v>206</v>
      </c>
      <c r="C28" t="s">
        <v>9</v>
      </c>
      <c r="D28">
        <v>13</v>
      </c>
      <c r="E28">
        <v>22</v>
      </c>
      <c r="F28">
        <v>18</v>
      </c>
      <c r="G28">
        <f t="shared" si="9"/>
        <v>0.37142857142857144</v>
      </c>
      <c r="H28">
        <f t="shared" si="10"/>
        <v>0.41935483870967744</v>
      </c>
      <c r="I28">
        <f t="shared" si="11"/>
        <v>0.39393939393939398</v>
      </c>
    </row>
    <row r="29" spans="1:9" ht="14.65" thickBot="1" x14ac:dyDescent="0.5">
      <c r="A29" s="20" t="s">
        <v>213</v>
      </c>
      <c r="B29" s="21" t="s">
        <v>206</v>
      </c>
      <c r="C29" s="10" t="s">
        <v>10</v>
      </c>
      <c r="D29" s="10">
        <v>0</v>
      </c>
      <c r="E29" s="10">
        <v>24</v>
      </c>
      <c r="F29" s="10">
        <v>0</v>
      </c>
      <c r="G29" s="10">
        <f t="shared" si="9"/>
        <v>0</v>
      </c>
      <c r="H29" s="10" t="e">
        <f t="shared" si="10"/>
        <v>#DIV/0!</v>
      </c>
      <c r="I29" s="10" t="e">
        <f t="shared" si="11"/>
        <v>#DIV/0!</v>
      </c>
    </row>
    <row r="30" spans="1:9" x14ac:dyDescent="0.45">
      <c r="A30" s="22" t="s">
        <v>214</v>
      </c>
      <c r="B30" s="19" t="s">
        <v>208</v>
      </c>
      <c r="C30" t="s">
        <v>7</v>
      </c>
      <c r="D30">
        <v>6</v>
      </c>
      <c r="E30">
        <v>2</v>
      </c>
      <c r="F30">
        <v>0</v>
      </c>
      <c r="G30">
        <f t="shared" si="9"/>
        <v>0.75</v>
      </c>
      <c r="H30">
        <f t="shared" si="10"/>
        <v>1</v>
      </c>
      <c r="I30">
        <f t="shared" si="11"/>
        <v>0.8571428571428571</v>
      </c>
    </row>
    <row r="31" spans="1:9" x14ac:dyDescent="0.45">
      <c r="A31" s="22" t="s">
        <v>214</v>
      </c>
      <c r="B31" s="19" t="s">
        <v>208</v>
      </c>
      <c r="C31" t="s">
        <v>8</v>
      </c>
      <c r="D31">
        <v>7</v>
      </c>
      <c r="E31">
        <v>3</v>
      </c>
      <c r="F31">
        <v>0</v>
      </c>
      <c r="G31">
        <f t="shared" si="9"/>
        <v>0.7</v>
      </c>
      <c r="H31">
        <f t="shared" si="10"/>
        <v>1</v>
      </c>
      <c r="I31">
        <f t="shared" si="11"/>
        <v>0.82352941176470584</v>
      </c>
    </row>
    <row r="32" spans="1:9" x14ac:dyDescent="0.45">
      <c r="A32" s="22" t="s">
        <v>214</v>
      </c>
      <c r="B32" s="19" t="s">
        <v>208</v>
      </c>
      <c r="C32" t="s">
        <v>9</v>
      </c>
      <c r="D32">
        <v>26</v>
      </c>
      <c r="E32">
        <v>1</v>
      </c>
      <c r="F32">
        <v>5</v>
      </c>
      <c r="G32">
        <f t="shared" si="9"/>
        <v>0.96296296296296291</v>
      </c>
      <c r="H32">
        <f t="shared" si="10"/>
        <v>0.83870967741935487</v>
      </c>
      <c r="I32">
        <f t="shared" si="11"/>
        <v>0.89655172413793105</v>
      </c>
    </row>
    <row r="33" spans="1:9" ht="14.65" thickBot="1" x14ac:dyDescent="0.5">
      <c r="A33" s="20" t="s">
        <v>214</v>
      </c>
      <c r="B33" s="21" t="s">
        <v>208</v>
      </c>
      <c r="C33" s="10" t="s">
        <v>10</v>
      </c>
      <c r="D33" s="10">
        <v>0</v>
      </c>
      <c r="E33" s="10">
        <v>9</v>
      </c>
      <c r="F33" s="10">
        <v>0</v>
      </c>
      <c r="G33" s="10">
        <f t="shared" si="9"/>
        <v>0</v>
      </c>
      <c r="H33" s="10" t="e">
        <f t="shared" si="10"/>
        <v>#DIV/0!</v>
      </c>
      <c r="I33" s="10" t="e">
        <f t="shared" si="11"/>
        <v>#DIV/0!</v>
      </c>
    </row>
    <row r="34" spans="1:9" x14ac:dyDescent="0.45">
      <c r="A34" s="22" t="s">
        <v>245</v>
      </c>
      <c r="B34" s="19" t="s">
        <v>206</v>
      </c>
      <c r="C34" t="s">
        <v>7</v>
      </c>
      <c r="D34">
        <v>6</v>
      </c>
      <c r="E34">
        <v>1</v>
      </c>
      <c r="F34">
        <v>8</v>
      </c>
      <c r="G34">
        <f t="shared" ref="G34:G41" si="12">D34/(D34+E34)</f>
        <v>0.8571428571428571</v>
      </c>
      <c r="H34">
        <f t="shared" ref="H34:H41" si="13">D34/(D34+F34)</f>
        <v>0.42857142857142855</v>
      </c>
      <c r="I34">
        <f t="shared" ref="I34:I41" si="14">2*G34*H34/(G34+H34)</f>
        <v>0.5714285714285714</v>
      </c>
    </row>
    <row r="35" spans="1:9" x14ac:dyDescent="0.45">
      <c r="A35" s="22" t="s">
        <v>245</v>
      </c>
      <c r="B35" s="19" t="s">
        <v>206</v>
      </c>
      <c r="C35" t="s">
        <v>8</v>
      </c>
      <c r="D35">
        <v>1</v>
      </c>
      <c r="E35">
        <v>8</v>
      </c>
      <c r="F35">
        <v>10</v>
      </c>
      <c r="G35">
        <f t="shared" si="12"/>
        <v>0.1111111111111111</v>
      </c>
      <c r="H35">
        <f t="shared" si="13"/>
        <v>9.0909090909090912E-2</v>
      </c>
      <c r="I35">
        <f t="shared" si="14"/>
        <v>9.9999999999999992E-2</v>
      </c>
    </row>
    <row r="36" spans="1:9" x14ac:dyDescent="0.45">
      <c r="A36" s="22" t="s">
        <v>245</v>
      </c>
      <c r="B36" s="19" t="s">
        <v>206</v>
      </c>
      <c r="C36" t="s">
        <v>9</v>
      </c>
      <c r="D36">
        <v>4</v>
      </c>
      <c r="E36">
        <v>15</v>
      </c>
      <c r="F36">
        <v>11</v>
      </c>
      <c r="G36">
        <f t="shared" si="12"/>
        <v>0.21052631578947367</v>
      </c>
      <c r="H36">
        <f t="shared" si="13"/>
        <v>0.26666666666666666</v>
      </c>
      <c r="I36">
        <f t="shared" si="14"/>
        <v>0.23529411764705882</v>
      </c>
    </row>
    <row r="37" spans="1:9" ht="14.65" thickBot="1" x14ac:dyDescent="0.5">
      <c r="A37" s="20" t="s">
        <v>245</v>
      </c>
      <c r="B37" s="21" t="s">
        <v>206</v>
      </c>
      <c r="C37" s="10" t="s">
        <v>10</v>
      </c>
      <c r="D37" s="10">
        <v>0</v>
      </c>
      <c r="E37" s="10">
        <v>21</v>
      </c>
      <c r="F37" s="10">
        <v>3</v>
      </c>
      <c r="G37" s="10">
        <f t="shared" si="12"/>
        <v>0</v>
      </c>
      <c r="H37" s="10">
        <f t="shared" si="13"/>
        <v>0</v>
      </c>
      <c r="I37" s="10" t="e">
        <f t="shared" si="14"/>
        <v>#DIV/0!</v>
      </c>
    </row>
    <row r="38" spans="1:9" x14ac:dyDescent="0.45">
      <c r="A38" s="22" t="s">
        <v>216</v>
      </c>
      <c r="B38" s="19" t="s">
        <v>208</v>
      </c>
      <c r="C38" t="s">
        <v>7</v>
      </c>
      <c r="D38">
        <v>8</v>
      </c>
      <c r="E38">
        <v>0</v>
      </c>
      <c r="F38">
        <v>0</v>
      </c>
      <c r="G38">
        <f t="shared" si="12"/>
        <v>1</v>
      </c>
      <c r="H38">
        <f t="shared" si="13"/>
        <v>1</v>
      </c>
      <c r="I38">
        <f t="shared" si="14"/>
        <v>1</v>
      </c>
    </row>
    <row r="39" spans="1:9" x14ac:dyDescent="0.45">
      <c r="A39" s="22" t="s">
        <v>216</v>
      </c>
      <c r="B39" s="19" t="s">
        <v>208</v>
      </c>
      <c r="C39" t="s">
        <v>8</v>
      </c>
      <c r="D39">
        <v>11</v>
      </c>
      <c r="E39">
        <v>0</v>
      </c>
      <c r="F39">
        <v>0</v>
      </c>
      <c r="G39">
        <f t="shared" si="12"/>
        <v>1</v>
      </c>
      <c r="H39">
        <f t="shared" si="13"/>
        <v>1</v>
      </c>
      <c r="I39">
        <f t="shared" si="14"/>
        <v>1</v>
      </c>
    </row>
    <row r="40" spans="1:9" x14ac:dyDescent="0.45">
      <c r="A40" s="22" t="s">
        <v>216</v>
      </c>
      <c r="B40" s="19" t="s">
        <v>208</v>
      </c>
      <c r="C40" t="s">
        <v>9</v>
      </c>
      <c r="D40" t="s">
        <v>246</v>
      </c>
      <c r="E40">
        <v>0</v>
      </c>
      <c r="F40">
        <v>1</v>
      </c>
      <c r="G40" t="e">
        <f t="shared" si="12"/>
        <v>#VALUE!</v>
      </c>
      <c r="H40" t="e">
        <f t="shared" si="13"/>
        <v>#VALUE!</v>
      </c>
      <c r="I40" t="e">
        <f t="shared" si="14"/>
        <v>#VALUE!</v>
      </c>
    </row>
    <row r="41" spans="1:9" ht="14.65" thickBot="1" x14ac:dyDescent="0.5">
      <c r="A41" s="20" t="s">
        <v>216</v>
      </c>
      <c r="B41" s="21" t="s">
        <v>208</v>
      </c>
      <c r="C41" s="10" t="s">
        <v>10</v>
      </c>
      <c r="D41" s="10">
        <v>3</v>
      </c>
      <c r="E41" s="10">
        <v>0</v>
      </c>
      <c r="F41" s="10">
        <v>0</v>
      </c>
      <c r="G41" s="10">
        <f t="shared" si="12"/>
        <v>1</v>
      </c>
      <c r="H41" s="10">
        <f t="shared" si="13"/>
        <v>1</v>
      </c>
      <c r="I41" s="10">
        <f t="shared" si="14"/>
        <v>1</v>
      </c>
    </row>
    <row r="42" spans="1:9" x14ac:dyDescent="0.45">
      <c r="A42" s="22" t="s">
        <v>217</v>
      </c>
      <c r="B42" s="19" t="s">
        <v>206</v>
      </c>
      <c r="C42" t="s">
        <v>7</v>
      </c>
      <c r="D42">
        <v>6</v>
      </c>
      <c r="E42">
        <v>1</v>
      </c>
      <c r="F42">
        <v>3</v>
      </c>
      <c r="G42">
        <f t="shared" ref="G42:G49" si="15">D42/(D42+E42)</f>
        <v>0.8571428571428571</v>
      </c>
      <c r="H42">
        <f t="shared" ref="H42:H49" si="16">D42/(D42+F42)</f>
        <v>0.66666666666666663</v>
      </c>
      <c r="I42">
        <f t="shared" ref="I42:I49" si="17">2*G42*H42/(G42+H42)</f>
        <v>0.75</v>
      </c>
    </row>
    <row r="43" spans="1:9" x14ac:dyDescent="0.45">
      <c r="A43" s="22" t="s">
        <v>217</v>
      </c>
      <c r="B43" s="19" t="s">
        <v>206</v>
      </c>
      <c r="C43" t="s">
        <v>8</v>
      </c>
      <c r="D43">
        <v>7</v>
      </c>
      <c r="E43">
        <v>6</v>
      </c>
      <c r="F43">
        <v>6</v>
      </c>
      <c r="G43">
        <f t="shared" si="15"/>
        <v>0.53846153846153844</v>
      </c>
      <c r="H43">
        <f t="shared" si="16"/>
        <v>0.53846153846153844</v>
      </c>
      <c r="I43">
        <f t="shared" si="17"/>
        <v>0.53846153846153844</v>
      </c>
    </row>
    <row r="44" spans="1:9" x14ac:dyDescent="0.45">
      <c r="A44" s="22" t="s">
        <v>217</v>
      </c>
      <c r="B44" s="19" t="s">
        <v>206</v>
      </c>
      <c r="C44" t="s">
        <v>9</v>
      </c>
      <c r="D44">
        <v>7</v>
      </c>
      <c r="E44">
        <v>16</v>
      </c>
      <c r="F44">
        <v>5</v>
      </c>
      <c r="G44">
        <f t="shared" si="15"/>
        <v>0.30434782608695654</v>
      </c>
      <c r="H44">
        <f t="shared" si="16"/>
        <v>0.58333333333333337</v>
      </c>
      <c r="I44">
        <f t="shared" si="17"/>
        <v>0.4</v>
      </c>
    </row>
    <row r="45" spans="1:9" ht="14.65" thickBot="1" x14ac:dyDescent="0.5">
      <c r="A45" s="23" t="s">
        <v>217</v>
      </c>
      <c r="B45" s="21" t="s">
        <v>206</v>
      </c>
      <c r="C45" s="10" t="s">
        <v>10</v>
      </c>
      <c r="D45" s="10">
        <v>0</v>
      </c>
      <c r="E45" s="10">
        <v>23</v>
      </c>
      <c r="F45" s="10">
        <v>0</v>
      </c>
      <c r="G45" s="10">
        <f t="shared" si="15"/>
        <v>0</v>
      </c>
      <c r="H45" s="10" t="e">
        <f t="shared" si="16"/>
        <v>#DIV/0!</v>
      </c>
      <c r="I45" s="10" t="e">
        <f t="shared" si="17"/>
        <v>#DIV/0!</v>
      </c>
    </row>
    <row r="46" spans="1:9" x14ac:dyDescent="0.45">
      <c r="A46" s="22" t="s">
        <v>218</v>
      </c>
      <c r="B46" s="19" t="s">
        <v>208</v>
      </c>
      <c r="C46" t="s">
        <v>7</v>
      </c>
      <c r="D46">
        <v>6</v>
      </c>
      <c r="E46">
        <v>0</v>
      </c>
      <c r="F46">
        <v>3</v>
      </c>
      <c r="G46">
        <f t="shared" si="15"/>
        <v>1</v>
      </c>
      <c r="H46">
        <f t="shared" si="16"/>
        <v>0.66666666666666663</v>
      </c>
      <c r="I46">
        <f t="shared" si="17"/>
        <v>0.8</v>
      </c>
    </row>
    <row r="47" spans="1:9" x14ac:dyDescent="0.45">
      <c r="A47" s="22" t="s">
        <v>218</v>
      </c>
      <c r="B47" s="19" t="s">
        <v>208</v>
      </c>
      <c r="C47" t="s">
        <v>8</v>
      </c>
      <c r="D47">
        <v>6</v>
      </c>
      <c r="E47">
        <v>0</v>
      </c>
      <c r="F47">
        <v>7</v>
      </c>
      <c r="G47">
        <f t="shared" si="15"/>
        <v>1</v>
      </c>
      <c r="H47">
        <f t="shared" si="16"/>
        <v>0.46153846153846156</v>
      </c>
      <c r="I47">
        <f t="shared" si="17"/>
        <v>0.63157894736842102</v>
      </c>
    </row>
    <row r="48" spans="1:9" x14ac:dyDescent="0.45">
      <c r="A48" s="22" t="s">
        <v>218</v>
      </c>
      <c r="B48" s="19" t="s">
        <v>208</v>
      </c>
      <c r="C48" t="s">
        <v>9</v>
      </c>
      <c r="D48">
        <v>7</v>
      </c>
      <c r="E48">
        <v>12</v>
      </c>
      <c r="F48">
        <v>5</v>
      </c>
      <c r="G48">
        <f t="shared" si="15"/>
        <v>0.36842105263157893</v>
      </c>
      <c r="H48">
        <f t="shared" si="16"/>
        <v>0.58333333333333337</v>
      </c>
      <c r="I48">
        <f t="shared" si="17"/>
        <v>0.45161290322580649</v>
      </c>
    </row>
    <row r="49" spans="1:9" ht="14.65" thickBot="1" x14ac:dyDescent="0.5">
      <c r="A49" s="23" t="s">
        <v>218</v>
      </c>
      <c r="B49" s="21" t="s">
        <v>208</v>
      </c>
      <c r="C49" s="10" t="s">
        <v>10</v>
      </c>
      <c r="D49" s="10">
        <v>0</v>
      </c>
      <c r="E49" s="10">
        <v>0</v>
      </c>
      <c r="F49" s="10">
        <v>0</v>
      </c>
      <c r="G49" s="10" t="e">
        <f t="shared" si="15"/>
        <v>#DIV/0!</v>
      </c>
      <c r="H49" s="10" t="e">
        <f t="shared" si="16"/>
        <v>#DIV/0!</v>
      </c>
      <c r="I49" s="10" t="e">
        <f t="shared" si="17"/>
        <v>#DIV/0!</v>
      </c>
    </row>
    <row r="50" spans="1:9" x14ac:dyDescent="0.45">
      <c r="A50" s="22" t="s">
        <v>219</v>
      </c>
      <c r="B50" s="19" t="s">
        <v>206</v>
      </c>
      <c r="C50" t="s">
        <v>7</v>
      </c>
      <c r="D50">
        <v>6</v>
      </c>
      <c r="E50">
        <v>1</v>
      </c>
      <c r="F50">
        <v>1</v>
      </c>
      <c r="G50">
        <f t="shared" ref="G50:G56" si="18">D50/(D50+E50)</f>
        <v>0.8571428571428571</v>
      </c>
      <c r="H50">
        <f t="shared" ref="H50:H57" si="19">D50/(D50+F50)</f>
        <v>0.8571428571428571</v>
      </c>
      <c r="I50">
        <f t="shared" ref="I50:I57" si="20">2*G50*H50/(G50+H50)</f>
        <v>0.8571428571428571</v>
      </c>
    </row>
    <row r="51" spans="1:9" x14ac:dyDescent="0.45">
      <c r="A51" s="22" t="s">
        <v>219</v>
      </c>
      <c r="B51" s="19" t="s">
        <v>206</v>
      </c>
      <c r="C51" t="s">
        <v>8</v>
      </c>
      <c r="D51">
        <v>6</v>
      </c>
      <c r="E51">
        <v>0</v>
      </c>
      <c r="F51">
        <v>2</v>
      </c>
      <c r="G51">
        <f t="shared" si="18"/>
        <v>1</v>
      </c>
      <c r="H51">
        <f t="shared" si="19"/>
        <v>0.75</v>
      </c>
      <c r="I51">
        <f t="shared" si="20"/>
        <v>0.8571428571428571</v>
      </c>
    </row>
    <row r="52" spans="1:9" x14ac:dyDescent="0.45">
      <c r="A52" s="22" t="s">
        <v>219</v>
      </c>
      <c r="B52" s="19" t="s">
        <v>206</v>
      </c>
      <c r="C52" t="s">
        <v>9</v>
      </c>
      <c r="D52">
        <v>7</v>
      </c>
      <c r="E52">
        <v>10</v>
      </c>
      <c r="F52">
        <v>4</v>
      </c>
      <c r="G52">
        <f>D52/(D52+E53)</f>
        <v>0.1891891891891892</v>
      </c>
      <c r="H52">
        <f t="shared" si="19"/>
        <v>0.63636363636363635</v>
      </c>
      <c r="I52">
        <f t="shared" si="20"/>
        <v>0.29166666666666669</v>
      </c>
    </row>
    <row r="53" spans="1:9" ht="14.65" thickBot="1" x14ac:dyDescent="0.5">
      <c r="A53" s="23" t="s">
        <v>219</v>
      </c>
      <c r="B53" s="21" t="s">
        <v>206</v>
      </c>
      <c r="C53" s="10" t="s">
        <v>10</v>
      </c>
      <c r="D53" s="10">
        <v>0</v>
      </c>
      <c r="E53">
        <v>30</v>
      </c>
      <c r="F53" s="10">
        <v>0</v>
      </c>
      <c r="G53" s="10" t="e">
        <f>D53/(D53+#REF!)</f>
        <v>#REF!</v>
      </c>
      <c r="H53" s="10" t="e">
        <f t="shared" si="19"/>
        <v>#DIV/0!</v>
      </c>
      <c r="I53" s="10" t="e">
        <f t="shared" si="20"/>
        <v>#REF!</v>
      </c>
    </row>
    <row r="54" spans="1:9" x14ac:dyDescent="0.45">
      <c r="A54" s="22" t="s">
        <v>220</v>
      </c>
      <c r="B54" s="19" t="s">
        <v>208</v>
      </c>
      <c r="C54" t="s">
        <v>7</v>
      </c>
      <c r="D54">
        <v>6</v>
      </c>
      <c r="E54">
        <v>0</v>
      </c>
      <c r="F54">
        <v>1</v>
      </c>
      <c r="G54">
        <f t="shared" si="18"/>
        <v>1</v>
      </c>
      <c r="H54">
        <f t="shared" si="19"/>
        <v>0.8571428571428571</v>
      </c>
      <c r="I54">
        <f t="shared" si="20"/>
        <v>0.92307692307692302</v>
      </c>
    </row>
    <row r="55" spans="1:9" x14ac:dyDescent="0.45">
      <c r="A55" s="22" t="s">
        <v>220</v>
      </c>
      <c r="B55" s="19" t="s">
        <v>208</v>
      </c>
      <c r="C55" t="s">
        <v>8</v>
      </c>
      <c r="D55">
        <v>6</v>
      </c>
      <c r="E55">
        <v>0</v>
      </c>
      <c r="F55">
        <v>2</v>
      </c>
      <c r="G55">
        <f t="shared" si="18"/>
        <v>1</v>
      </c>
      <c r="H55">
        <f t="shared" si="19"/>
        <v>0.75</v>
      </c>
      <c r="I55">
        <f t="shared" si="20"/>
        <v>0.8571428571428571</v>
      </c>
    </row>
    <row r="56" spans="1:9" x14ac:dyDescent="0.45">
      <c r="A56" s="22" t="s">
        <v>220</v>
      </c>
      <c r="B56" s="19" t="s">
        <v>208</v>
      </c>
      <c r="C56" t="s">
        <v>9</v>
      </c>
      <c r="D56">
        <v>6</v>
      </c>
      <c r="E56">
        <v>15</v>
      </c>
      <c r="F56">
        <v>5</v>
      </c>
      <c r="G56">
        <f t="shared" si="18"/>
        <v>0.2857142857142857</v>
      </c>
      <c r="H56">
        <f t="shared" si="19"/>
        <v>0.54545454545454541</v>
      </c>
      <c r="I56">
        <f t="shared" si="20"/>
        <v>0.37499999999999994</v>
      </c>
    </row>
    <row r="57" spans="1:9" ht="14.65" thickBot="1" x14ac:dyDescent="0.5">
      <c r="A57" s="23" t="s">
        <v>220</v>
      </c>
      <c r="B57" s="21" t="s">
        <v>208</v>
      </c>
      <c r="C57" s="10" t="s">
        <v>10</v>
      </c>
      <c r="D57" s="10">
        <v>0</v>
      </c>
      <c r="E57" s="10">
        <v>0</v>
      </c>
      <c r="F57" s="10">
        <v>0</v>
      </c>
      <c r="G57" s="10" t="e">
        <f>D57/(+E57)</f>
        <v>#DIV/0!</v>
      </c>
      <c r="H57" s="10" t="e">
        <f t="shared" si="19"/>
        <v>#DIV/0!</v>
      </c>
      <c r="I57" s="10" t="e">
        <f t="shared" si="20"/>
        <v>#DIV/0!</v>
      </c>
    </row>
    <row r="58" spans="1:9" x14ac:dyDescent="0.45">
      <c r="A58" s="22" t="s">
        <v>221</v>
      </c>
      <c r="B58" s="19" t="s">
        <v>206</v>
      </c>
      <c r="C58" t="s">
        <v>7</v>
      </c>
      <c r="G58" t="e">
        <f t="shared" ref="G58:G65" si="21">D58/(D58+E58)</f>
        <v>#DIV/0!</v>
      </c>
      <c r="H58" t="e">
        <f t="shared" ref="H58:H65" si="22">D58/(D58+F58)</f>
        <v>#DIV/0!</v>
      </c>
      <c r="I58" t="e">
        <f t="shared" ref="I58:I65" si="23">2*G58*H58/(G58+H58)</f>
        <v>#DIV/0!</v>
      </c>
    </row>
    <row r="59" spans="1:9" x14ac:dyDescent="0.45">
      <c r="A59" s="22" t="s">
        <v>221</v>
      </c>
      <c r="B59" s="19" t="s">
        <v>206</v>
      </c>
      <c r="C59" t="s">
        <v>8</v>
      </c>
      <c r="G59" t="e">
        <f t="shared" si="21"/>
        <v>#DIV/0!</v>
      </c>
      <c r="H59" t="e">
        <f t="shared" si="22"/>
        <v>#DIV/0!</v>
      </c>
      <c r="I59" t="e">
        <f t="shared" si="23"/>
        <v>#DIV/0!</v>
      </c>
    </row>
    <row r="60" spans="1:9" x14ac:dyDescent="0.45">
      <c r="A60" s="22" t="s">
        <v>221</v>
      </c>
      <c r="B60" s="19" t="s">
        <v>206</v>
      </c>
      <c r="C60" t="s">
        <v>9</v>
      </c>
      <c r="G60" t="e">
        <f t="shared" si="21"/>
        <v>#DIV/0!</v>
      </c>
      <c r="H60" t="e">
        <f t="shared" si="22"/>
        <v>#DIV/0!</v>
      </c>
      <c r="I60" t="e">
        <f t="shared" si="23"/>
        <v>#DIV/0!</v>
      </c>
    </row>
    <row r="61" spans="1:9" ht="14.65" thickBot="1" x14ac:dyDescent="0.5">
      <c r="A61" s="20" t="s">
        <v>221</v>
      </c>
      <c r="B61" s="21" t="s">
        <v>206</v>
      </c>
      <c r="C61" s="10" t="s">
        <v>10</v>
      </c>
      <c r="D61" s="10"/>
      <c r="E61" s="10"/>
      <c r="F61" s="10"/>
      <c r="G61" s="10" t="e">
        <f t="shared" si="21"/>
        <v>#DIV/0!</v>
      </c>
      <c r="H61" s="10" t="e">
        <f t="shared" si="22"/>
        <v>#DIV/0!</v>
      </c>
      <c r="I61" s="10" t="e">
        <f t="shared" si="23"/>
        <v>#DIV/0!</v>
      </c>
    </row>
    <row r="62" spans="1:9" x14ac:dyDescent="0.45">
      <c r="A62" s="22" t="s">
        <v>222</v>
      </c>
      <c r="B62" s="19" t="s">
        <v>208</v>
      </c>
      <c r="C62" t="s">
        <v>7</v>
      </c>
      <c r="G62" t="e">
        <f t="shared" si="21"/>
        <v>#DIV/0!</v>
      </c>
      <c r="H62" t="e">
        <f t="shared" si="22"/>
        <v>#DIV/0!</v>
      </c>
      <c r="I62" t="e">
        <f t="shared" si="23"/>
        <v>#DIV/0!</v>
      </c>
    </row>
    <row r="63" spans="1:9" x14ac:dyDescent="0.45">
      <c r="A63" s="22" t="s">
        <v>222</v>
      </c>
      <c r="B63" s="19" t="s">
        <v>208</v>
      </c>
      <c r="C63" t="s">
        <v>8</v>
      </c>
      <c r="G63" t="e">
        <f t="shared" si="21"/>
        <v>#DIV/0!</v>
      </c>
      <c r="H63" t="e">
        <f t="shared" si="22"/>
        <v>#DIV/0!</v>
      </c>
      <c r="I63" t="e">
        <f t="shared" si="23"/>
        <v>#DIV/0!</v>
      </c>
    </row>
    <row r="64" spans="1:9" x14ac:dyDescent="0.45">
      <c r="A64" s="22" t="s">
        <v>222</v>
      </c>
      <c r="B64" s="19" t="s">
        <v>208</v>
      </c>
      <c r="C64" t="s">
        <v>9</v>
      </c>
      <c r="G64" t="e">
        <f t="shared" si="21"/>
        <v>#DIV/0!</v>
      </c>
      <c r="H64" t="e">
        <f t="shared" si="22"/>
        <v>#DIV/0!</v>
      </c>
      <c r="I64" t="e">
        <f t="shared" si="23"/>
        <v>#DIV/0!</v>
      </c>
    </row>
    <row r="65" spans="1:9" ht="14.65" thickBot="1" x14ac:dyDescent="0.5">
      <c r="A65" s="20" t="s">
        <v>222</v>
      </c>
      <c r="B65" s="21" t="s">
        <v>208</v>
      </c>
      <c r="C65" s="10" t="s">
        <v>10</v>
      </c>
      <c r="D65" s="10"/>
      <c r="E65" s="10"/>
      <c r="F65" s="10"/>
      <c r="G65" s="10" t="e">
        <f t="shared" si="21"/>
        <v>#DIV/0!</v>
      </c>
      <c r="H65" s="10" t="e">
        <f t="shared" si="22"/>
        <v>#DIV/0!</v>
      </c>
      <c r="I65" s="10" t="e">
        <f t="shared" si="23"/>
        <v>#DIV/0!</v>
      </c>
    </row>
    <row r="66" spans="1:9" x14ac:dyDescent="0.45">
      <c r="A66" s="22" t="s">
        <v>223</v>
      </c>
      <c r="B66" s="19" t="s">
        <v>206</v>
      </c>
      <c r="C66" t="s">
        <v>7</v>
      </c>
      <c r="G66" t="e">
        <f t="shared" ref="G66:G73" si="24">D66/(D66+E66)</f>
        <v>#DIV/0!</v>
      </c>
      <c r="H66" t="e">
        <f t="shared" ref="H66:H73" si="25">D66/(D66+F66)</f>
        <v>#DIV/0!</v>
      </c>
      <c r="I66" t="e">
        <f t="shared" ref="I66:I73" si="26">2*G66*H66/(G66+H66)</f>
        <v>#DIV/0!</v>
      </c>
    </row>
    <row r="67" spans="1:9" x14ac:dyDescent="0.45">
      <c r="A67" s="22" t="s">
        <v>223</v>
      </c>
      <c r="B67" s="19" t="s">
        <v>206</v>
      </c>
      <c r="C67" t="s">
        <v>8</v>
      </c>
      <c r="G67" t="e">
        <f t="shared" si="24"/>
        <v>#DIV/0!</v>
      </c>
      <c r="H67" t="e">
        <f t="shared" si="25"/>
        <v>#DIV/0!</v>
      </c>
      <c r="I67" t="e">
        <f t="shared" si="26"/>
        <v>#DIV/0!</v>
      </c>
    </row>
    <row r="68" spans="1:9" x14ac:dyDescent="0.45">
      <c r="A68" s="22" t="s">
        <v>223</v>
      </c>
      <c r="B68" s="19" t="s">
        <v>206</v>
      </c>
      <c r="C68" t="s">
        <v>9</v>
      </c>
      <c r="G68" t="e">
        <f t="shared" si="24"/>
        <v>#DIV/0!</v>
      </c>
      <c r="H68" t="e">
        <f t="shared" si="25"/>
        <v>#DIV/0!</v>
      </c>
      <c r="I68" t="e">
        <f t="shared" si="26"/>
        <v>#DIV/0!</v>
      </c>
    </row>
    <row r="69" spans="1:9" ht="14.65" thickBot="1" x14ac:dyDescent="0.5">
      <c r="A69" s="20" t="s">
        <v>223</v>
      </c>
      <c r="B69" s="21" t="s">
        <v>206</v>
      </c>
      <c r="C69" s="10" t="s">
        <v>10</v>
      </c>
      <c r="D69" s="10"/>
      <c r="E69" s="10"/>
      <c r="F69" s="10"/>
      <c r="G69" s="10" t="e">
        <f t="shared" si="24"/>
        <v>#DIV/0!</v>
      </c>
      <c r="H69" s="10" t="e">
        <f t="shared" si="25"/>
        <v>#DIV/0!</v>
      </c>
      <c r="I69" s="10" t="e">
        <f t="shared" si="26"/>
        <v>#DIV/0!</v>
      </c>
    </row>
    <row r="70" spans="1:9" x14ac:dyDescent="0.45">
      <c r="A70" s="22" t="s">
        <v>224</v>
      </c>
      <c r="B70" s="19" t="s">
        <v>208</v>
      </c>
      <c r="C70" t="s">
        <v>7</v>
      </c>
      <c r="G70" t="e">
        <f t="shared" si="24"/>
        <v>#DIV/0!</v>
      </c>
      <c r="H70" t="e">
        <f t="shared" si="25"/>
        <v>#DIV/0!</v>
      </c>
      <c r="I70" t="e">
        <f t="shared" si="26"/>
        <v>#DIV/0!</v>
      </c>
    </row>
    <row r="71" spans="1:9" x14ac:dyDescent="0.45">
      <c r="A71" s="22" t="s">
        <v>224</v>
      </c>
      <c r="B71" s="19" t="s">
        <v>208</v>
      </c>
      <c r="C71" t="s">
        <v>8</v>
      </c>
      <c r="G71" t="e">
        <f t="shared" si="24"/>
        <v>#DIV/0!</v>
      </c>
      <c r="H71" t="e">
        <f t="shared" si="25"/>
        <v>#DIV/0!</v>
      </c>
      <c r="I71" t="e">
        <f t="shared" si="26"/>
        <v>#DIV/0!</v>
      </c>
    </row>
    <row r="72" spans="1:9" x14ac:dyDescent="0.45">
      <c r="A72" s="22" t="s">
        <v>224</v>
      </c>
      <c r="B72" s="19" t="s">
        <v>208</v>
      </c>
      <c r="C72" t="s">
        <v>9</v>
      </c>
      <c r="G72" t="e">
        <f t="shared" si="24"/>
        <v>#DIV/0!</v>
      </c>
      <c r="H72" t="e">
        <f t="shared" si="25"/>
        <v>#DIV/0!</v>
      </c>
      <c r="I72" t="e">
        <f t="shared" si="26"/>
        <v>#DIV/0!</v>
      </c>
    </row>
    <row r="73" spans="1:9" ht="14.65" thickBot="1" x14ac:dyDescent="0.5">
      <c r="A73" s="20" t="s">
        <v>224</v>
      </c>
      <c r="B73" s="21" t="s">
        <v>208</v>
      </c>
      <c r="C73" s="10" t="s">
        <v>10</v>
      </c>
      <c r="D73" s="10"/>
      <c r="E73" s="10"/>
      <c r="F73" s="10"/>
      <c r="G73" s="10" t="e">
        <f t="shared" si="24"/>
        <v>#DIV/0!</v>
      </c>
      <c r="H73" s="10" t="e">
        <f t="shared" si="25"/>
        <v>#DIV/0!</v>
      </c>
      <c r="I73" s="10" t="e">
        <f t="shared" si="26"/>
        <v>#DIV/0!</v>
      </c>
    </row>
    <row r="74" spans="1:9" x14ac:dyDescent="0.45">
      <c r="A74" s="22" t="s">
        <v>225</v>
      </c>
      <c r="B74" s="19" t="s">
        <v>206</v>
      </c>
      <c r="C74" t="s">
        <v>7</v>
      </c>
      <c r="G74" t="e">
        <f t="shared" ref="G74:G81" si="27">D74/(D74+E74)</f>
        <v>#DIV/0!</v>
      </c>
      <c r="H74" t="e">
        <f t="shared" ref="H74:H81" si="28">D74/(D74+F74)</f>
        <v>#DIV/0!</v>
      </c>
      <c r="I74" t="e">
        <f t="shared" ref="I74:I81" si="29">2*G74*H74/(G74+H74)</f>
        <v>#DIV/0!</v>
      </c>
    </row>
    <row r="75" spans="1:9" x14ac:dyDescent="0.45">
      <c r="A75" s="22" t="s">
        <v>225</v>
      </c>
      <c r="B75" s="19" t="s">
        <v>206</v>
      </c>
      <c r="C75" t="s">
        <v>8</v>
      </c>
      <c r="G75" t="e">
        <f t="shared" si="27"/>
        <v>#DIV/0!</v>
      </c>
      <c r="H75" t="e">
        <f t="shared" si="28"/>
        <v>#DIV/0!</v>
      </c>
      <c r="I75" t="e">
        <f t="shared" si="29"/>
        <v>#DIV/0!</v>
      </c>
    </row>
    <row r="76" spans="1:9" x14ac:dyDescent="0.45">
      <c r="A76" s="22" t="s">
        <v>225</v>
      </c>
      <c r="B76" s="19" t="s">
        <v>206</v>
      </c>
      <c r="C76" t="s">
        <v>9</v>
      </c>
      <c r="G76" t="e">
        <f t="shared" si="27"/>
        <v>#DIV/0!</v>
      </c>
      <c r="H76" t="e">
        <f t="shared" si="28"/>
        <v>#DIV/0!</v>
      </c>
      <c r="I76" t="e">
        <f t="shared" si="29"/>
        <v>#DIV/0!</v>
      </c>
    </row>
    <row r="77" spans="1:9" ht="14.65" thickBot="1" x14ac:dyDescent="0.5">
      <c r="A77" s="20" t="s">
        <v>225</v>
      </c>
      <c r="B77" s="21" t="s">
        <v>206</v>
      </c>
      <c r="C77" s="10" t="s">
        <v>10</v>
      </c>
      <c r="D77" s="10"/>
      <c r="E77" s="10"/>
      <c r="F77" s="10"/>
      <c r="G77" s="10" t="e">
        <f t="shared" si="27"/>
        <v>#DIV/0!</v>
      </c>
      <c r="H77" s="10" t="e">
        <f t="shared" si="28"/>
        <v>#DIV/0!</v>
      </c>
      <c r="I77" s="10" t="e">
        <f t="shared" si="29"/>
        <v>#DIV/0!</v>
      </c>
    </row>
    <row r="78" spans="1:9" x14ac:dyDescent="0.45">
      <c r="A78" s="22" t="s">
        <v>226</v>
      </c>
      <c r="B78" s="19" t="s">
        <v>208</v>
      </c>
      <c r="C78" t="s">
        <v>7</v>
      </c>
      <c r="G78" t="e">
        <f t="shared" si="27"/>
        <v>#DIV/0!</v>
      </c>
      <c r="H78" t="e">
        <f t="shared" si="28"/>
        <v>#DIV/0!</v>
      </c>
      <c r="I78" t="e">
        <f t="shared" si="29"/>
        <v>#DIV/0!</v>
      </c>
    </row>
    <row r="79" spans="1:9" x14ac:dyDescent="0.45">
      <c r="A79" s="22" t="s">
        <v>226</v>
      </c>
      <c r="B79" s="19" t="s">
        <v>208</v>
      </c>
      <c r="C79" t="s">
        <v>8</v>
      </c>
      <c r="G79" t="e">
        <f t="shared" si="27"/>
        <v>#DIV/0!</v>
      </c>
      <c r="H79" t="e">
        <f t="shared" si="28"/>
        <v>#DIV/0!</v>
      </c>
      <c r="I79" t="e">
        <f t="shared" si="29"/>
        <v>#DIV/0!</v>
      </c>
    </row>
    <row r="80" spans="1:9" x14ac:dyDescent="0.45">
      <c r="A80" s="22" t="s">
        <v>226</v>
      </c>
      <c r="B80" s="19" t="s">
        <v>208</v>
      </c>
      <c r="C80" t="s">
        <v>9</v>
      </c>
      <c r="G80" t="e">
        <f t="shared" si="27"/>
        <v>#DIV/0!</v>
      </c>
      <c r="H80" t="e">
        <f t="shared" si="28"/>
        <v>#DIV/0!</v>
      </c>
      <c r="I80" t="e">
        <f t="shared" si="29"/>
        <v>#DIV/0!</v>
      </c>
    </row>
    <row r="81" spans="1:9" ht="14.65" thickBot="1" x14ac:dyDescent="0.5">
      <c r="A81" s="22" t="s">
        <v>226</v>
      </c>
      <c r="B81" s="21" t="s">
        <v>208</v>
      </c>
      <c r="C81" s="10" t="s">
        <v>10</v>
      </c>
      <c r="D81" s="10"/>
      <c r="E81" s="10"/>
      <c r="F81" s="10"/>
      <c r="G81" s="10" t="e">
        <f t="shared" si="27"/>
        <v>#DIV/0!</v>
      </c>
      <c r="H81" s="10" t="e">
        <f t="shared" si="28"/>
        <v>#DIV/0!</v>
      </c>
      <c r="I81" s="10" t="e">
        <f t="shared" si="29"/>
        <v>#DIV/0!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CEF2-4BE0-4677-A294-90EFC4FDA822}">
  <dimension ref="A1"/>
  <sheetViews>
    <sheetView topLeftCell="A7" zoomScale="145" zoomScaleNormal="145" workbookViewId="0">
      <selection activeCell="J5" activeCellId="1" sqref="A1 J5"/>
    </sheetView>
  </sheetViews>
  <sheetFormatPr defaultRowHeight="14.25" x14ac:dyDescent="0.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4AD555-63C8-4DD3-8A19-E24C750AD1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10</vt:i4>
      </vt:variant>
    </vt:vector>
  </HeadingPairs>
  <TitlesOfParts>
    <vt:vector size="10" baseType="lpstr">
      <vt:lpstr>Confusion metrix </vt:lpstr>
      <vt:lpstr>Confusion metrix tableau</vt:lpstr>
      <vt:lpstr>G_eval</vt:lpstr>
      <vt:lpstr>Confusion Claude Models</vt:lpstr>
      <vt:lpstr>G-eval Claude Models</vt:lpstr>
      <vt:lpstr>Confusion metrix self-improve</vt:lpstr>
      <vt:lpstr>G-eval self-improve</vt:lpstr>
      <vt:lpstr>Final evaluation</vt:lpstr>
      <vt:lpstr>Folha1</vt:lpstr>
      <vt:lpstr>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Goncalo Bandos Rodrigues</dc:creator>
  <cp:lastModifiedBy>Tiago Goncalo Bandos Rodrigues</cp:lastModifiedBy>
  <dcterms:created xsi:type="dcterms:W3CDTF">2025-06-12T09:28:49Z</dcterms:created>
  <dcterms:modified xsi:type="dcterms:W3CDTF">2025-11-24T17:50:30Z</dcterms:modified>
</cp:coreProperties>
</file>